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rivate\excel-dev\SAPTreeToFlat\"/>
    </mc:Choice>
  </mc:AlternateContent>
  <xr:revisionPtr revIDLastSave="0" documentId="13_ncr:1_{E809CE69-186A-47BD-8737-C22EE1258CCB}" xr6:coauthVersionLast="47" xr6:coauthVersionMax="47" xr10:uidLastSave="{00000000-0000-0000-0000-000000000000}"/>
  <bookViews>
    <workbookView xWindow="28680" yWindow="-120" windowWidth="29040" windowHeight="15720" activeTab="2" xr2:uid="{E03718A6-71A2-4BBB-9329-E2C4228C813A}"/>
  </bookViews>
  <sheets>
    <sheet name="Input" sheetId="1" r:id="rId1"/>
    <sheet name="Output" sheetId="2" r:id="rId2"/>
    <sheet name="Instruction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2" l="1"/>
  <c r="L6" i="2" s="1"/>
  <c r="I7" i="2"/>
  <c r="L7" i="2" s="1"/>
  <c r="I8" i="2"/>
  <c r="L8" i="2" s="1"/>
  <c r="I9" i="2"/>
  <c r="L9" i="2" s="1"/>
  <c r="I10" i="2"/>
  <c r="L10" i="2" s="1"/>
  <c r="I11" i="2"/>
  <c r="L11" i="2" s="1"/>
  <c r="I12" i="2"/>
  <c r="L12" i="2" s="1"/>
  <c r="I13" i="2"/>
  <c r="L13" i="2" s="1"/>
  <c r="I14" i="2"/>
  <c r="L14" i="2" s="1"/>
  <c r="I15" i="2"/>
  <c r="L15" i="2" s="1"/>
  <c r="I16" i="2"/>
  <c r="I17" i="2"/>
  <c r="L17" i="2" s="1"/>
  <c r="I18" i="2"/>
  <c r="L18" i="2" s="1"/>
  <c r="I19" i="2"/>
  <c r="L19" i="2" s="1"/>
  <c r="I20" i="2"/>
  <c r="L20" i="2" s="1"/>
  <c r="I21" i="2"/>
  <c r="L21" i="2" s="1"/>
  <c r="I22" i="2"/>
  <c r="L22" i="2" s="1"/>
  <c r="I23" i="2"/>
  <c r="L23" i="2" s="1"/>
  <c r="I24" i="2"/>
  <c r="L24" i="2" s="1"/>
  <c r="I25" i="2"/>
  <c r="L25" i="2" s="1"/>
  <c r="I26" i="2"/>
  <c r="L26" i="2" s="1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L16" i="2"/>
  <c r="F27" i="2"/>
  <c r="G27" i="2"/>
  <c r="H27" i="2"/>
  <c r="D27" i="2"/>
  <c r="K5" i="2"/>
  <c r="J5" i="2"/>
  <c r="I5" i="2"/>
  <c r="L5" i="2" s="1"/>
  <c r="I27" i="2" l="1"/>
</calcChain>
</file>

<file path=xl/sharedStrings.xml><?xml version="1.0" encoding="utf-8"?>
<sst xmlns="http://schemas.openxmlformats.org/spreadsheetml/2006/main" count="636" uniqueCount="240">
  <si>
    <t>Level</t>
  </si>
  <si>
    <t>Budget</t>
  </si>
  <si>
    <t>Status</t>
  </si>
  <si>
    <t>John Doe</t>
  </si>
  <si>
    <t>ZAR</t>
  </si>
  <si>
    <t>Jane Doe</t>
  </si>
  <si>
    <t>Some One</t>
  </si>
  <si>
    <t>    `Budget`</t>
  </si>
  <si>
    <t>TAKE COLUMNS</t>
  </si>
  <si>
    <t>FILTER TO KEEP NOTHING</t>
  </si>
  <si>
    <t>    `John Doe`</t>
  </si>
  <si>
    <t>    `Jane Doe`</t>
  </si>
  <si>
    <t>    `Level`</t>
  </si>
  <si>
    <t>REMOVE COLUMN `Level`</t>
  </si>
  <si>
    <t>APPLY FILTER</t>
  </si>
  <si>
    <t>    `Project Description`</t>
  </si>
  <si>
    <t>Project Description</t>
  </si>
  <si>
    <t>Person Responsible</t>
  </si>
  <si>
    <t>LOAD FROM `Input`</t>
  </si>
  <si>
    <t>SAVE TO `Output`</t>
  </si>
  <si>
    <t>Heading A</t>
  </si>
  <si>
    <t>Heading B</t>
  </si>
  <si>
    <t>Heading C</t>
  </si>
  <si>
    <t>.</t>
  </si>
  <si>
    <t>Project object</t>
  </si>
  <si>
    <t>Projektelm</t>
  </si>
  <si>
    <t>Act. Costs</t>
  </si>
  <si>
    <t>TtlCstComm</t>
  </si>
  <si>
    <t>TtlCostComm</t>
  </si>
  <si>
    <t>Pers.resp.</t>
  </si>
  <si>
    <t>Erl. Start</t>
  </si>
  <si>
    <t>OPEN ABCD EFGH</t>
  </si>
  <si>
    <t>CLSD IJKL MNOP</t>
  </si>
  <si>
    <t>No One</t>
  </si>
  <si>
    <t>00</t>
  </si>
  <si>
    <t>01</t>
  </si>
  <si>
    <t>02</t>
  </si>
  <si>
    <t>03</t>
  </si>
  <si>
    <t>04</t>
  </si>
  <si>
    <t>05</t>
  </si>
  <si>
    <t>06</t>
  </si>
  <si>
    <t>07</t>
  </si>
  <si>
    <t>ABCDEF</t>
  </si>
  <si>
    <t>AA-BBB</t>
  </si>
  <si>
    <t>AA-BBB-CCCC</t>
  </si>
  <si>
    <t>AA-BBB-CCCC-DDD</t>
  </si>
  <si>
    <t>AA-BBB-CCCC-DDD-EEEE</t>
  </si>
  <si>
    <t>AA-BBB-CCCC-DDD-EEEE-FFF</t>
  </si>
  <si>
    <t>A.BBB.000001.CC</t>
  </si>
  <si>
    <t>A.BBB.000001.CC.01</t>
  </si>
  <si>
    <t>A.BBB.000001.CC.02</t>
  </si>
  <si>
    <t>A.BBB.000001.CC.03</t>
  </si>
  <si>
    <t>No Body</t>
  </si>
  <si>
    <t>CRTD QRST UVWX</t>
  </si>
  <si>
    <t>Root Node</t>
  </si>
  <si>
    <t>Level 1</t>
  </si>
  <si>
    <t>Level 2</t>
  </si>
  <si>
    <t>Level 3</t>
  </si>
  <si>
    <t>Level 4</t>
  </si>
  <si>
    <t>Group of Projects</t>
  </si>
  <si>
    <t>Projects in Phase CC</t>
  </si>
  <si>
    <t>Actual Project 1</t>
  </si>
  <si>
    <t>Actual Project 2</t>
  </si>
  <si>
    <t>Actual Project 3</t>
  </si>
  <si>
    <t>Projects in Phase DD</t>
  </si>
  <si>
    <t>Projects in Phase EE</t>
  </si>
  <si>
    <t>A.BBB.000001.DD</t>
  </si>
  <si>
    <t>A.BBB.000001.DD.01</t>
  </si>
  <si>
    <t>A.BBB.000001.DD.02</t>
  </si>
  <si>
    <t>A.BBB.000001.DD.03</t>
  </si>
  <si>
    <t>A.BBB.000001.EE</t>
  </si>
  <si>
    <t>A.BBB.000001.EE.01</t>
  </si>
  <si>
    <t>A.BBB.000001.EE.02</t>
  </si>
  <si>
    <t>A.BBB.000001.EE.03</t>
  </si>
  <si>
    <t>Actual Project 4</t>
  </si>
  <si>
    <t>Actual Project 5</t>
  </si>
  <si>
    <t>Actual Project 6</t>
  </si>
  <si>
    <t>Actual Project 7</t>
  </si>
  <si>
    <t>Actual Project 8</t>
  </si>
  <si>
    <t>Actual Project 9</t>
  </si>
  <si>
    <t>Level 4 Stream, Category</t>
  </si>
  <si>
    <t>Level 3 Stream</t>
  </si>
  <si>
    <t>Actual Project 10</t>
  </si>
  <si>
    <t>Actual Project 11</t>
  </si>
  <si>
    <t>Actual Project 12</t>
  </si>
  <si>
    <t>Actual Project 13</t>
  </si>
  <si>
    <t>Actual Project 14</t>
  </si>
  <si>
    <t>Level 5 Stream, Category, Group F</t>
  </si>
  <si>
    <t>Level 5 Stream, Category, Group G</t>
  </si>
  <si>
    <t>Level 5 Stream, Category, Group H</t>
  </si>
  <si>
    <t>Level 3 Different</t>
  </si>
  <si>
    <t>Level 4 Different</t>
  </si>
  <si>
    <t>Level 5 Different</t>
  </si>
  <si>
    <t>Project Group</t>
  </si>
  <si>
    <t>Project Group Pull Down</t>
  </si>
  <si>
    <t>Actual Project 15</t>
  </si>
  <si>
    <t>Actual Project 16</t>
  </si>
  <si>
    <t>Actual Project 17</t>
  </si>
  <si>
    <t>08</t>
  </si>
  <si>
    <t>A.BBB.000100.CC</t>
  </si>
  <si>
    <t>A.BBB.000100.CC.DD</t>
  </si>
  <si>
    <t>A.BBB.000100.CC.DD.1</t>
  </si>
  <si>
    <t>A.BBB.000100.CC.DD.2</t>
  </si>
  <si>
    <t>A.BBB.000100.CC.DD.3</t>
  </si>
  <si>
    <t>A.BBB.000002.CC.1</t>
  </si>
  <si>
    <t>A.BBB.000002.CC.2</t>
  </si>
  <si>
    <t>A.BBB.000002.CC.3</t>
  </si>
  <si>
    <t>A.BBB.000002.CC.4</t>
  </si>
  <si>
    <t>A.BBB.000002.CC.5</t>
  </si>
  <si>
    <t>A.BBB.000003.CC.1</t>
  </si>
  <si>
    <t>A.BBB.000004.CC.1</t>
  </si>
  <si>
    <t>A.BBB.000003.CC.2</t>
  </si>
  <si>
    <t>A.BBB.000003.CC.3</t>
  </si>
  <si>
    <t>A.BBB.000003.CC.4</t>
  </si>
  <si>
    <t>A.BBB.000003.CC.5</t>
  </si>
  <si>
    <t>A.BBB.000004.CC.2</t>
  </si>
  <si>
    <t>A.BBB.000004.CC.3</t>
  </si>
  <si>
    <t>A.BBB.000004.CC.4</t>
  </si>
  <si>
    <t>A.BBB.000004.CC.5</t>
  </si>
  <si>
    <t>AA-BBB-CCCC-DDE</t>
  </si>
  <si>
    <t>AA-BBB-CCCC-DDE-EEEF</t>
  </si>
  <si>
    <t>AA-BBB-CCCC-DDE-EEEF-FFF</t>
  </si>
  <si>
    <t>AA-BBB-CCCC-DDE-EEEF-GGG</t>
  </si>
  <si>
    <t>AA-BBB-CCCC-DDE-EEEF-HHH</t>
  </si>
  <si>
    <t>AA-BBB-CCCC-DDF</t>
  </si>
  <si>
    <t>AA-BBB-CCCC-DDF-EEEG</t>
  </si>
  <si>
    <t>AA-BBB-CCCC-DDF-EEEG-FFF</t>
  </si>
  <si>
    <t>Someone Else</t>
  </si>
  <si>
    <t>Joe Bloggs</t>
  </si>
  <si>
    <t>John Q. Public</t>
  </si>
  <si>
    <t>John Smith</t>
  </si>
  <si>
    <t>Jane Smith</t>
  </si>
  <si>
    <t>So And So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</si>
  <si>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</si>
  <si>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</si>
  <si>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</si>
  <si>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</si>
  <si>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</si>
  <si>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</si>
  <si>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</si>
  <si>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</si>
  <si>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</si>
  <si>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</si>
  <si>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</si>
  <si>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</si>
  <si>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</si>
  <si>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</si>
  <si>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</si>
  <si>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</si>
  <si>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</si>
  <si>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</si>
  <si>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</si>
  <si>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</si>
  <si>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</si>
  <si>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</si>
  <si>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</si>
  <si>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</si>
  <si>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</si>
  <si>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</si>
  <si>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</si>
  <si>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</si>
  <si>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</si>
  <si>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</si>
  <si>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</si>
  <si>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</si>
  <si>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</si>
  <si>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</si>
  <si>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</si>
  <si>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</si>
  <si>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</si>
  <si>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</si>
  <si>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</si>
  <si>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</si>
  <si>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</si>
  <si>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</si>
  <si>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</si>
  <si>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</si>
  <si>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</si>
  <si>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</si>
  <si>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    `Project object` AS `Project Description`</t>
  </si>
  <si>
    <t>    `Projektelm` AS `Project Number`</t>
  </si>
  <si>
    <t>    `Act. Costs` as `Actualised`</t>
  </si>
  <si>
    <t>    `TtlCstComm` as `Committed`</t>
  </si>
  <si>
    <t>    `Pers.resp.` AS `Person Responsible`</t>
  </si>
  <si>
    <t>    `Erl. Start` as `Start Date`</t>
  </si>
  <si>
    <t>    `Status`</t>
  </si>
  <si>
    <t xml:space="preserve">ADD COLUMN `L5` CONTAINING LAST `Project Number` WHERE `Level` IS `05` </t>
  </si>
  <si>
    <t>FILTER TO KEEP IF `Person Responsible` IS ONE OF</t>
  </si>
  <si>
    <t>    `John Smith`</t>
  </si>
  <si>
    <t>    `Jane Smith`</t>
  </si>
  <si>
    <t>FILTER TO KEEP IF `L5` IS ONE OF</t>
  </si>
  <si>
    <t>    `AA-BBB-CCCC-DDD-EEEE-FFF`</t>
  </si>
  <si>
    <t>    `AA-BBB-CCCC-DDF-EEEG-FFF`</t>
  </si>
  <si>
    <t>ADD COLUMNS BY SPLITTING `L5` EVERY `-`</t>
  </si>
  <si>
    <t>REMOVE COLUMN `L5`</t>
  </si>
  <si>
    <t>    `4` AS `Division`</t>
  </si>
  <si>
    <t>    `5` AS `Stream`</t>
  </si>
  <si>
    <t>    `6` AS `Category`</t>
  </si>
  <si>
    <t>REPLACE CONTENTS OF `Division`</t>
  </si>
  <si>
    <t>REPLACE CONTENTS OF `Category`</t>
  </si>
  <si>
    <t>    IF `Person Responsible` IS `John Doe` THEN `Category J`</t>
  </si>
  <si>
    <t>    `Project Number`</t>
  </si>
  <si>
    <t>    `Actualised`</t>
  </si>
  <si>
    <t>    `Committed`</t>
  </si>
  <si>
    <t>Division</t>
  </si>
  <si>
    <t>Stream</t>
  </si>
  <si>
    <t>FFF</t>
  </si>
  <si>
    <t>GGG</t>
  </si>
  <si>
    <t>HHH</t>
  </si>
  <si>
    <t>Category</t>
  </si>
  <si>
    <t>Category J</t>
  </si>
  <si>
    <t>Project Number</t>
  </si>
  <si>
    <t>Actualised</t>
  </si>
  <si>
    <t>Committed</t>
  </si>
  <si>
    <t>Start Date</t>
  </si>
  <si>
    <t>    CHANGE `DDD` TO `Red Division`</t>
  </si>
  <si>
    <t>    CHANGE `DDE` TO `Green Division`</t>
  </si>
  <si>
    <t>    CHANGE `DDF` TO `Blue Division`</t>
  </si>
  <si>
    <t>Red Division</t>
  </si>
  <si>
    <t>Green Division</t>
  </si>
  <si>
    <t>Blue Division</t>
  </si>
  <si>
    <t>REPLACE CONTENTS OF `Stream`</t>
  </si>
  <si>
    <t>    CHANGE `EEEE` TO `North Stream`</t>
  </si>
  <si>
    <t>    CHANGE `EEEF` TO `East Stream`</t>
  </si>
  <si>
    <t>    CHANGE `EEEG` TO `South Stream`</t>
  </si>
  <si>
    <t>North Stream</t>
  </si>
  <si>
    <t>East Stream</t>
  </si>
  <si>
    <t>South Stream</t>
  </si>
  <si>
    <t>    `Start Date` IN COLUMN `M`</t>
  </si>
  <si>
    <t>FILTER TO REMOVE IF `Level` IS ONE OF</t>
  </si>
  <si>
    <t>    `03`</t>
  </si>
  <si>
    <t>    `04`</t>
  </si>
  <si>
    <t>    `05`</t>
  </si>
  <si>
    <t>    `Division`</t>
  </si>
  <si>
    <t>    `Stream`</t>
  </si>
  <si>
    <t>    `Category`</t>
  </si>
  <si>
    <t>Available</t>
  </si>
  <si>
    <t>% Actualised</t>
  </si>
  <si>
    <t>% Committed</t>
  </si>
  <si>
    <t>%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</si>
</sst>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&quot;* #,##0.00_-;\-&quot;R&quot;* #,##0.00_-;_-&quot;R&quot;* &quot;-&quot;??_-;_-@_-"/>
    <numFmt numFmtId="164" formatCode="[$-F800]dddd\,\ mmmm\ dd\,\ yyyy"/>
    <numFmt numFmtId="172" formatCode="0&quot;x Projects&quot;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ABB2BF"/>
      <name val="Consolas"/>
      <family val="3"/>
    </font>
    <font>
      <sz val="8"/>
      <name val="Calibri"/>
      <family val="2"/>
      <scheme val="minor"/>
    </font>
    <font>
      <sz val="12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25">
    <xf numFmtId="0" fontId="0" fillId="0" borderId="0" xfId="0"/>
    <xf numFmtId="44" fontId="0" fillId="0" borderId="0" xfId="1" applyFont="1"/>
    <xf numFmtId="0" fontId="5" fillId="0" borderId="0" xfId="0" applyFont="1" applyAlignment="1">
      <alignment vertical="center"/>
    </xf>
    <xf numFmtId="164" fontId="0" fillId="0" borderId="0" xfId="0" applyNumberFormat="1"/>
    <xf numFmtId="44" fontId="0" fillId="0" borderId="0" xfId="0" applyNumberFormat="1"/>
    <xf numFmtId="9" fontId="0" fillId="0" borderId="0" xfId="2" applyFont="1"/>
    <xf numFmtId="0" fontId="3" fillId="0" borderId="2" xfId="4"/>
    <xf numFmtId="0" fontId="4" fillId="0" borderId="3" xfId="5"/>
    <xf numFmtId="0" fontId="2" fillId="0" borderId="1" xfId="3"/>
    <xf numFmtId="14" fontId="0" fillId="0" borderId="0" xfId="0" applyNumberFormat="1"/>
    <xf numFmtId="40" fontId="0" fillId="0" borderId="0" xfId="0" applyNumberFormat="1"/>
    <xf numFmtId="40" fontId="0" fillId="0" borderId="0" xfId="1" applyNumberFormat="1" applyFont="1"/>
    <xf numFmtId="14" fontId="0" fillId="0" borderId="0" xfId="0" applyNumberFormat="1" applyAlignment="1">
      <alignment horizontal="center"/>
    </xf>
    <xf numFmtId="9" fontId="0" fillId="0" borderId="0" xfId="2" applyNumberFormat="1" applyFont="1"/>
    <xf numFmtId="0" fontId="7" fillId="0" borderId="0" xfId="0" applyFont="1" applyAlignment="1">
      <alignment vertical="center"/>
    </xf>
    <xf numFmtId="0" fontId="0" fillId="2" borderId="0" xfId="0" applyFill="1"/>
    <xf numFmtId="40" fontId="0" fillId="2" borderId="0" xfId="0" applyNumberFormat="1" applyFill="1"/>
    <xf numFmtId="0" fontId="0" fillId="3" borderId="0" xfId="0" applyFill="1"/>
    <xf numFmtId="0" fontId="0" fillId="4" borderId="0" xfId="0" applyFill="1"/>
    <xf numFmtId="0" fontId="0" fillId="4" borderId="0" xfId="0" quotePrefix="1" applyFill="1"/>
    <xf numFmtId="172" fontId="0" fillId="0" borderId="0" xfId="0" applyNumberFormat="1" applyAlignment="1">
      <alignment horizontal="left"/>
    </xf>
    <xf numFmtId="44" fontId="0" fillId="0" borderId="0" xfId="1" applyFont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/>
    </xf>
    <xf numFmtId="44" fontId="0" fillId="0" borderId="0" xfId="0" applyNumberFormat="1" applyFont="1"/>
  </cellXfs>
  <cellStyles count="6">
    <cellStyle name="Currency" xfId="1" builtinId="4"/>
    <cellStyle name="Heading 1" xfId="3" builtinId="16"/>
    <cellStyle name="Heading 2" xfId="4" builtinId="17"/>
    <cellStyle name="Heading 3" xfId="5" builtinId="18"/>
    <cellStyle name="Normal" xfId="0" builtinId="0"/>
    <cellStyle name="Percent" xfId="2" builtinId="5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&quot;* #,##0.00_-;\-&quot;R&quot;* #,##0.00_-;_-&quot;R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&quot;* #,##0.00_-;\-&quot;R&quot;* #,##0.00_-;_-&quot;R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&quot;* #,##0.00_-;\-&quot;R&quot;* #,##0.00_-;_-&quot;R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&quot;* #,##0.00_-;\-&quot;R&quot;* #,##0.00_-;_-&quot;R&quot;* &quot;-&quot;??_-;_-@_-"/>
    </dxf>
    <dxf>
      <numFmt numFmtId="34" formatCode="_-&quot;R&quot;* #,##0.00_-;\-&quot;R&quot;* #,##0.00_-;_-&quot;R&quot;* &quot;-&quot;??_-;_-@_-"/>
    </dxf>
    <dxf>
      <numFmt numFmtId="172" formatCode="0&quot;x Projects&quot;"/>
      <alignment horizontal="left" vertical="bottom" textRotation="0" wrapText="0" indent="0" justifyLastLine="0" shrinkToFit="0" readingOrder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yyyy/mm/dd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95C8685-4CC7-4ECC-95E1-D67D8D420AD5}" name="Table4" displayName="Table4" ref="A4:O27" totalsRowCount="1">
  <autoFilter ref="A4:O26" xr:uid="{295C8685-4CC7-4ECC-95E1-D67D8D420AD5}"/>
  <tableColumns count="15">
    <tableColumn id="1" xr3:uid="{021F4634-2A00-4BE7-A0A1-76A0A53EB854}" name="Division"/>
    <tableColumn id="2" xr3:uid="{9B9173FE-5E1D-4571-AE6C-454BF16D261D}" name="Stream"/>
    <tableColumn id="3" xr3:uid="{DA548AA3-BCF9-4104-BDFE-BC38E962BD97}" name="Category"/>
    <tableColumn id="4" xr3:uid="{EB6757F9-A6CA-466C-AF1D-BD6FA00A7862}" name="Project Number" totalsRowFunction="count" totalsRowDxfId="5"/>
    <tableColumn id="5" xr3:uid="{B7540804-23D9-4AD3-82F6-E79F7CE5E313}" name="Project Description" totalsRowDxfId="4" dataCellStyle="Currency"/>
    <tableColumn id="6" xr3:uid="{FA2998E4-E192-40E3-A0AB-CE22404B40D0}" name="Budget" totalsRowFunction="custom" totalsRowDxfId="3" dataCellStyle="Currency">
      <totalsRowFormula>SUBTOTAL(109,F5:F26)</totalsRowFormula>
    </tableColumn>
    <tableColumn id="7" xr3:uid="{9524CCDC-5C0E-4D9F-B8FB-330F58A03395}" name="Actualised" totalsRowFunction="custom" totalsRowDxfId="2" dataCellStyle="Currency">
      <totalsRowFormula>SUBTOTAL(109,G5:G26)</totalsRowFormula>
    </tableColumn>
    <tableColumn id="8" xr3:uid="{A1B68570-E080-44FD-B968-3C74E5ECB7A7}" name="Committed" totalsRowFunction="custom" dataDxfId="10" totalsRowDxfId="1" dataCellStyle="Currency">
      <totalsRowFormula>SUBTOTAL(109,H5:H26)</totalsRowFormula>
    </tableColumn>
    <tableColumn id="9" xr3:uid="{85F0CD08-5683-4453-A41A-163231D01D18}" name="Available" totalsRowFunction="custom" dataDxfId="9" totalsRowDxfId="0" dataCellStyle="Currency">
      <calculatedColumnFormula>Table4[[#This Row],[Budget]]-Table4[[#This Row],[Actualised]]-Table4[[#This Row],[Committed]]</calculatedColumnFormula>
      <totalsRowFormula>SUBTOTAL(109,I5:I26)</totalsRowFormula>
    </tableColumn>
    <tableColumn id="10" xr3:uid="{E39DC58B-A257-44E4-BC0C-687C813E7565}" name="% Actualised" dataDxfId="8">
      <calculatedColumnFormula>Table4[[#This Row],[Actualised]]/Table4[[#This Row],[Budget]]</calculatedColumnFormula>
    </tableColumn>
    <tableColumn id="14" xr3:uid="{D4215E5D-0DB9-4120-9CBE-D6F97EAE04E4}" name="% Committed" dataDxfId="7">
      <calculatedColumnFormula>Table4[[#This Row],[Committed]]/Table4[[#This Row],[Budget]]</calculatedColumnFormula>
    </tableColumn>
    <tableColumn id="15" xr3:uid="{049CA02E-F252-4B9F-9B52-ECCE4D0D6580}" name="% Available" dataDxfId="6">
      <calculatedColumnFormula>Table4[[#This Row],[Available]]/Table4[[#This Row],[Committed]]</calculatedColumnFormula>
    </tableColumn>
    <tableColumn id="11" xr3:uid="{F79ED318-30F2-457C-9822-E1028ACF07AC}" name="Start Date" dataDxfId="11"/>
    <tableColumn id="12" xr3:uid="{89C3AB20-7A65-4D40-8569-F9D7CEFD8A17}" name="Person Responsible"/>
    <tableColumn id="13" xr3:uid="{F0D0E856-110B-49D6-AFA8-43554947655A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E0A2E-55DF-4885-B256-33A8CFC48225}">
  <sheetPr codeName="Sheet1"/>
  <dimension ref="A1:M47"/>
  <sheetViews>
    <sheetView workbookViewId="0"/>
  </sheetViews>
  <sheetFormatPr defaultRowHeight="15" x14ac:dyDescent="0.25"/>
  <cols>
    <col min="1" max="2" width="4.7109375" customWidth="1"/>
    <col min="3" max="4" width="32.7109375" customWidth="1"/>
    <col min="5" max="5" width="13.7109375" style="10" customWidth="1"/>
    <col min="6" max="6" width="7.28515625" bestFit="1" customWidth="1"/>
    <col min="7" max="7" width="13.7109375" style="10" customWidth="1"/>
    <col min="8" max="8" width="9.5703125" bestFit="1" customWidth="1"/>
    <col min="9" max="9" width="13.7109375" style="10" customWidth="1"/>
    <col min="10" max="10" width="12.85546875" bestFit="1" customWidth="1"/>
    <col min="11" max="11" width="16.7109375" customWidth="1"/>
    <col min="12" max="12" width="13.7109375" customWidth="1"/>
    <col min="13" max="13" width="32.7109375" customWidth="1"/>
  </cols>
  <sheetData>
    <row r="1" spans="1:13" x14ac:dyDescent="0.25">
      <c r="A1" s="17" t="s">
        <v>23</v>
      </c>
      <c r="B1" s="17" t="s">
        <v>0</v>
      </c>
      <c r="C1" s="17" t="s">
        <v>24</v>
      </c>
      <c r="D1" s="17" t="s">
        <v>25</v>
      </c>
      <c r="E1" s="16" t="s">
        <v>1</v>
      </c>
      <c r="F1" s="15" t="s">
        <v>1</v>
      </c>
      <c r="G1" s="16" t="s">
        <v>26</v>
      </c>
      <c r="H1" s="15" t="s">
        <v>26</v>
      </c>
      <c r="I1" s="16" t="s">
        <v>27</v>
      </c>
      <c r="J1" s="15" t="s">
        <v>28</v>
      </c>
      <c r="K1" s="15" t="s">
        <v>29</v>
      </c>
      <c r="L1" s="15" t="s">
        <v>30</v>
      </c>
      <c r="M1" s="15" t="s">
        <v>2</v>
      </c>
    </row>
    <row r="2" spans="1:13" x14ac:dyDescent="0.25">
      <c r="A2" s="18" t="s">
        <v>133</v>
      </c>
      <c r="B2" s="19" t="s">
        <v>34</v>
      </c>
      <c r="C2" s="18" t="s">
        <v>54</v>
      </c>
      <c r="D2" s="18" t="s">
        <v>42</v>
      </c>
      <c r="E2" s="11">
        <v>614360.68999999994</v>
      </c>
      <c r="F2" t="s">
        <v>4</v>
      </c>
      <c r="G2" s="11">
        <v>703042.03</v>
      </c>
      <c r="H2" t="s">
        <v>4</v>
      </c>
      <c r="I2" s="11">
        <v>360912.44</v>
      </c>
      <c r="J2" t="s">
        <v>4</v>
      </c>
      <c r="L2" s="9">
        <v>45292</v>
      </c>
    </row>
    <row r="3" spans="1:13" x14ac:dyDescent="0.25">
      <c r="A3" s="18" t="s">
        <v>134</v>
      </c>
      <c r="B3" s="19" t="s">
        <v>35</v>
      </c>
      <c r="C3" s="18" t="s">
        <v>55</v>
      </c>
      <c r="D3" s="18" t="s">
        <v>43</v>
      </c>
      <c r="E3" s="11">
        <v>780214.13</v>
      </c>
      <c r="F3" t="s">
        <v>4</v>
      </c>
      <c r="G3" s="11">
        <v>655641.47</v>
      </c>
      <c r="H3" t="s">
        <v>4</v>
      </c>
      <c r="I3" s="11">
        <v>122406.23</v>
      </c>
      <c r="J3" t="s">
        <v>4</v>
      </c>
      <c r="L3" s="9">
        <v>45293</v>
      </c>
      <c r="M3" t="s">
        <v>31</v>
      </c>
    </row>
    <row r="4" spans="1:13" x14ac:dyDescent="0.25">
      <c r="A4" s="18" t="s">
        <v>135</v>
      </c>
      <c r="B4" s="19" t="s">
        <v>36</v>
      </c>
      <c r="C4" s="18" t="s">
        <v>56</v>
      </c>
      <c r="D4" s="18" t="s">
        <v>44</v>
      </c>
      <c r="E4" s="11">
        <v>432296.34</v>
      </c>
      <c r="F4" t="s">
        <v>4</v>
      </c>
      <c r="G4" s="11">
        <v>695069.61</v>
      </c>
      <c r="H4" t="s">
        <v>4</v>
      </c>
      <c r="I4" s="11">
        <v>640355.24</v>
      </c>
      <c r="J4" t="s">
        <v>4</v>
      </c>
      <c r="L4" s="9">
        <v>45294</v>
      </c>
      <c r="M4" t="s">
        <v>31</v>
      </c>
    </row>
    <row r="5" spans="1:13" x14ac:dyDescent="0.25">
      <c r="A5" s="18" t="s">
        <v>136</v>
      </c>
      <c r="B5" s="19" t="s">
        <v>37</v>
      </c>
      <c r="C5" s="18" t="s">
        <v>57</v>
      </c>
      <c r="D5" s="18" t="s">
        <v>45</v>
      </c>
      <c r="E5" s="11">
        <v>347140.19</v>
      </c>
      <c r="F5" t="s">
        <v>4</v>
      </c>
      <c r="G5" s="11">
        <v>414660.98</v>
      </c>
      <c r="H5" t="s">
        <v>4</v>
      </c>
      <c r="I5" s="11">
        <v>528900.43999999994</v>
      </c>
      <c r="J5" t="s">
        <v>4</v>
      </c>
      <c r="L5" s="9">
        <v>45295</v>
      </c>
      <c r="M5" t="s">
        <v>53</v>
      </c>
    </row>
    <row r="6" spans="1:13" x14ac:dyDescent="0.25">
      <c r="A6" s="18" t="s">
        <v>137</v>
      </c>
      <c r="B6" s="19" t="s">
        <v>38</v>
      </c>
      <c r="C6" s="18" t="s">
        <v>58</v>
      </c>
      <c r="D6" s="18" t="s">
        <v>46</v>
      </c>
      <c r="E6" s="11">
        <v>263412.93</v>
      </c>
      <c r="F6" t="s">
        <v>4</v>
      </c>
      <c r="G6" s="11">
        <v>257040.08</v>
      </c>
      <c r="H6" t="s">
        <v>4</v>
      </c>
      <c r="I6" s="11">
        <v>890082.24</v>
      </c>
      <c r="J6" t="s">
        <v>4</v>
      </c>
      <c r="L6" s="9">
        <v>45296</v>
      </c>
      <c r="M6" t="s">
        <v>31</v>
      </c>
    </row>
    <row r="7" spans="1:13" x14ac:dyDescent="0.25">
      <c r="A7" s="18" t="s">
        <v>138</v>
      </c>
      <c r="B7" s="19" t="s">
        <v>39</v>
      </c>
      <c r="C7" s="18" t="s">
        <v>59</v>
      </c>
      <c r="D7" s="18" t="s">
        <v>47</v>
      </c>
      <c r="E7" s="11">
        <v>621259.31999999995</v>
      </c>
      <c r="F7" t="s">
        <v>4</v>
      </c>
      <c r="G7" s="11">
        <v>155663.46</v>
      </c>
      <c r="H7" t="s">
        <v>4</v>
      </c>
      <c r="I7" s="11">
        <v>558482.36</v>
      </c>
      <c r="J7" t="s">
        <v>4</v>
      </c>
      <c r="L7" s="9">
        <v>45297</v>
      </c>
      <c r="M7" t="s">
        <v>31</v>
      </c>
    </row>
    <row r="8" spans="1:13" x14ac:dyDescent="0.25">
      <c r="A8" s="18" t="s">
        <v>139</v>
      </c>
      <c r="B8" s="19" t="s">
        <v>40</v>
      </c>
      <c r="C8" s="18" t="s">
        <v>60</v>
      </c>
      <c r="D8" s="18" t="s">
        <v>48</v>
      </c>
      <c r="E8" s="11">
        <v>860227.24</v>
      </c>
      <c r="F8" t="s">
        <v>4</v>
      </c>
      <c r="G8" s="11">
        <v>104675.21</v>
      </c>
      <c r="H8" t="s">
        <v>4</v>
      </c>
      <c r="I8" s="11">
        <v>848502.78</v>
      </c>
      <c r="J8" t="s">
        <v>4</v>
      </c>
      <c r="K8" t="s">
        <v>132</v>
      </c>
      <c r="L8" s="9">
        <v>45298</v>
      </c>
      <c r="M8" t="s">
        <v>32</v>
      </c>
    </row>
    <row r="9" spans="1:13" x14ac:dyDescent="0.25">
      <c r="A9" s="18" t="s">
        <v>140</v>
      </c>
      <c r="B9" s="19" t="s">
        <v>41</v>
      </c>
      <c r="C9" s="18" t="s">
        <v>61</v>
      </c>
      <c r="D9" s="18" t="s">
        <v>49</v>
      </c>
      <c r="E9" s="11">
        <v>759261.75</v>
      </c>
      <c r="F9" t="s">
        <v>4</v>
      </c>
      <c r="G9" s="11">
        <v>139491.19</v>
      </c>
      <c r="H9" t="s">
        <v>4</v>
      </c>
      <c r="I9" s="11">
        <v>547878.11</v>
      </c>
      <c r="J9" t="s">
        <v>4</v>
      </c>
      <c r="K9" t="s">
        <v>5</v>
      </c>
      <c r="L9" s="9">
        <v>45299</v>
      </c>
      <c r="M9" t="s">
        <v>53</v>
      </c>
    </row>
    <row r="10" spans="1:13" x14ac:dyDescent="0.25">
      <c r="A10" s="18" t="s">
        <v>141</v>
      </c>
      <c r="B10" s="19" t="s">
        <v>41</v>
      </c>
      <c r="C10" s="18" t="s">
        <v>62</v>
      </c>
      <c r="D10" s="18" t="s">
        <v>50</v>
      </c>
      <c r="E10" s="11">
        <v>468121.56</v>
      </c>
      <c r="F10" t="s">
        <v>4</v>
      </c>
      <c r="G10" s="11">
        <v>859925.66</v>
      </c>
      <c r="H10" t="s">
        <v>4</v>
      </c>
      <c r="I10" s="11">
        <v>184777.24</v>
      </c>
      <c r="J10" t="s">
        <v>4</v>
      </c>
      <c r="K10" t="s">
        <v>6</v>
      </c>
      <c r="L10" s="9">
        <v>45300</v>
      </c>
      <c r="M10" t="s">
        <v>53</v>
      </c>
    </row>
    <row r="11" spans="1:13" x14ac:dyDescent="0.25">
      <c r="A11" s="18" t="s">
        <v>142</v>
      </c>
      <c r="B11" s="19" t="s">
        <v>41</v>
      </c>
      <c r="C11" s="18" t="s">
        <v>63</v>
      </c>
      <c r="D11" s="18" t="s">
        <v>51</v>
      </c>
      <c r="E11" s="11">
        <v>996044.1</v>
      </c>
      <c r="F11" t="s">
        <v>4</v>
      </c>
      <c r="G11" s="11">
        <v>627595.15</v>
      </c>
      <c r="H11" t="s">
        <v>4</v>
      </c>
      <c r="I11" s="11">
        <v>622049</v>
      </c>
      <c r="J11" t="s">
        <v>4</v>
      </c>
      <c r="K11" t="s">
        <v>52</v>
      </c>
      <c r="L11" s="9">
        <v>45301</v>
      </c>
      <c r="M11" t="s">
        <v>31</v>
      </c>
    </row>
    <row r="12" spans="1:13" x14ac:dyDescent="0.25">
      <c r="A12" s="18" t="s">
        <v>143</v>
      </c>
      <c r="B12" s="19" t="s">
        <v>40</v>
      </c>
      <c r="C12" s="18" t="s">
        <v>64</v>
      </c>
      <c r="D12" s="18" t="s">
        <v>66</v>
      </c>
      <c r="E12" s="11">
        <v>894649.25</v>
      </c>
      <c r="F12" t="s">
        <v>4</v>
      </c>
      <c r="G12" s="11">
        <v>278919.55</v>
      </c>
      <c r="H12" t="s">
        <v>4</v>
      </c>
      <c r="I12" s="11">
        <v>283753.94</v>
      </c>
      <c r="J12" t="s">
        <v>4</v>
      </c>
      <c r="K12" t="s">
        <v>132</v>
      </c>
      <c r="L12" s="9">
        <v>45302</v>
      </c>
      <c r="M12" t="s">
        <v>32</v>
      </c>
    </row>
    <row r="13" spans="1:13" x14ac:dyDescent="0.25">
      <c r="A13" s="18" t="s">
        <v>144</v>
      </c>
      <c r="B13" s="19" t="s">
        <v>41</v>
      </c>
      <c r="C13" s="18" t="s">
        <v>74</v>
      </c>
      <c r="D13" s="18" t="s">
        <v>67</v>
      </c>
      <c r="E13" s="11">
        <v>565349.55000000005</v>
      </c>
      <c r="F13" t="s">
        <v>4</v>
      </c>
      <c r="G13" s="11">
        <v>765382.62</v>
      </c>
      <c r="H13" t="s">
        <v>4</v>
      </c>
      <c r="I13" s="11">
        <v>148053.48000000001</v>
      </c>
      <c r="J13" t="s">
        <v>4</v>
      </c>
      <c r="K13" t="s">
        <v>3</v>
      </c>
      <c r="L13" s="9">
        <v>45303</v>
      </c>
      <c r="M13" t="s">
        <v>53</v>
      </c>
    </row>
    <row r="14" spans="1:13" x14ac:dyDescent="0.25">
      <c r="A14" s="18" t="s">
        <v>145</v>
      </c>
      <c r="B14" s="19" t="s">
        <v>41</v>
      </c>
      <c r="C14" s="18" t="s">
        <v>75</v>
      </c>
      <c r="D14" s="18" t="s">
        <v>68</v>
      </c>
      <c r="E14" s="11">
        <v>646178.22</v>
      </c>
      <c r="F14" t="s">
        <v>4</v>
      </c>
      <c r="G14" s="11">
        <v>633801.85</v>
      </c>
      <c r="H14" t="s">
        <v>4</v>
      </c>
      <c r="I14" s="11">
        <v>810775.41</v>
      </c>
      <c r="J14" t="s">
        <v>4</v>
      </c>
      <c r="K14" t="s">
        <v>130</v>
      </c>
      <c r="L14" s="9">
        <v>45304</v>
      </c>
      <c r="M14" t="s">
        <v>31</v>
      </c>
    </row>
    <row r="15" spans="1:13" x14ac:dyDescent="0.25">
      <c r="A15" s="18" t="s">
        <v>146</v>
      </c>
      <c r="B15" s="19" t="s">
        <v>41</v>
      </c>
      <c r="C15" s="18" t="s">
        <v>76</v>
      </c>
      <c r="D15" s="18" t="s">
        <v>69</v>
      </c>
      <c r="E15" s="11">
        <v>489407.51</v>
      </c>
      <c r="F15" t="s">
        <v>4</v>
      </c>
      <c r="G15" s="11">
        <v>423136.85</v>
      </c>
      <c r="H15" t="s">
        <v>4</v>
      </c>
      <c r="I15" s="11">
        <v>338952.38</v>
      </c>
      <c r="J15" t="s">
        <v>4</v>
      </c>
      <c r="K15" t="s">
        <v>131</v>
      </c>
      <c r="L15" s="9">
        <v>45305</v>
      </c>
      <c r="M15" t="s">
        <v>32</v>
      </c>
    </row>
    <row r="16" spans="1:13" x14ac:dyDescent="0.25">
      <c r="A16" s="18" t="s">
        <v>147</v>
      </c>
      <c r="B16" s="19" t="s">
        <v>40</v>
      </c>
      <c r="C16" s="18" t="s">
        <v>65</v>
      </c>
      <c r="D16" s="18" t="s">
        <v>70</v>
      </c>
      <c r="E16" s="11">
        <v>448386.99</v>
      </c>
      <c r="F16" t="s">
        <v>4</v>
      </c>
      <c r="G16" s="11">
        <v>108815.23</v>
      </c>
      <c r="H16" t="s">
        <v>4</v>
      </c>
      <c r="I16" s="11">
        <v>564695.69999999995</v>
      </c>
      <c r="J16" t="s">
        <v>4</v>
      </c>
      <c r="K16" t="s">
        <v>33</v>
      </c>
      <c r="L16" s="9">
        <v>45306</v>
      </c>
      <c r="M16" t="s">
        <v>32</v>
      </c>
    </row>
    <row r="17" spans="1:13" x14ac:dyDescent="0.25">
      <c r="A17" s="18" t="s">
        <v>148</v>
      </c>
      <c r="B17" s="19" t="s">
        <v>41</v>
      </c>
      <c r="C17" s="18" t="s">
        <v>77</v>
      </c>
      <c r="D17" s="18" t="s">
        <v>71</v>
      </c>
      <c r="E17" s="11">
        <v>997549.38</v>
      </c>
      <c r="F17" t="s">
        <v>4</v>
      </c>
      <c r="G17" s="11">
        <v>202376.5</v>
      </c>
      <c r="H17" t="s">
        <v>4</v>
      </c>
      <c r="I17" s="11">
        <v>231584.44</v>
      </c>
      <c r="J17" t="s">
        <v>4</v>
      </c>
      <c r="K17" t="s">
        <v>52</v>
      </c>
      <c r="L17" s="9">
        <v>45307</v>
      </c>
      <c r="M17" t="s">
        <v>53</v>
      </c>
    </row>
    <row r="18" spans="1:13" x14ac:dyDescent="0.25">
      <c r="A18" s="18" t="s">
        <v>149</v>
      </c>
      <c r="B18" s="19" t="s">
        <v>41</v>
      </c>
      <c r="C18" s="18" t="s">
        <v>78</v>
      </c>
      <c r="D18" s="18" t="s">
        <v>72</v>
      </c>
      <c r="E18" s="11">
        <v>832897.78</v>
      </c>
      <c r="F18" t="s">
        <v>4</v>
      </c>
      <c r="G18" s="11">
        <v>420038.74</v>
      </c>
      <c r="H18" t="s">
        <v>4</v>
      </c>
      <c r="I18" s="11">
        <v>340506.44</v>
      </c>
      <c r="J18" t="s">
        <v>4</v>
      </c>
      <c r="K18" t="s">
        <v>5</v>
      </c>
      <c r="L18" s="9">
        <v>45308</v>
      </c>
      <c r="M18" t="s">
        <v>32</v>
      </c>
    </row>
    <row r="19" spans="1:13" x14ac:dyDescent="0.25">
      <c r="A19" s="18" t="s">
        <v>150</v>
      </c>
      <c r="B19" s="19" t="s">
        <v>41</v>
      </c>
      <c r="C19" s="18" t="s">
        <v>79</v>
      </c>
      <c r="D19" s="18" t="s">
        <v>73</v>
      </c>
      <c r="E19" s="11">
        <v>827440.94</v>
      </c>
      <c r="F19" t="s">
        <v>4</v>
      </c>
      <c r="G19" s="11">
        <v>644031.92000000004</v>
      </c>
      <c r="H19" t="s">
        <v>4</v>
      </c>
      <c r="I19" s="11">
        <v>698842.19</v>
      </c>
      <c r="J19" t="s">
        <v>4</v>
      </c>
      <c r="K19" t="s">
        <v>5</v>
      </c>
      <c r="L19" s="9">
        <v>45309</v>
      </c>
      <c r="M19" t="s">
        <v>31</v>
      </c>
    </row>
    <row r="20" spans="1:13" x14ac:dyDescent="0.25">
      <c r="A20" s="18" t="s">
        <v>151</v>
      </c>
      <c r="B20" s="19" t="s">
        <v>37</v>
      </c>
      <c r="C20" s="18" t="s">
        <v>81</v>
      </c>
      <c r="D20" s="18" t="s">
        <v>119</v>
      </c>
      <c r="E20" s="11">
        <v>367846.89</v>
      </c>
      <c r="F20" t="s">
        <v>4</v>
      </c>
      <c r="G20" s="11">
        <v>680926.27</v>
      </c>
      <c r="H20" t="s">
        <v>4</v>
      </c>
      <c r="I20" s="11">
        <v>203978.15</v>
      </c>
      <c r="J20" t="s">
        <v>4</v>
      </c>
      <c r="L20" s="9">
        <v>45310</v>
      </c>
      <c r="M20" t="s">
        <v>32</v>
      </c>
    </row>
    <row r="21" spans="1:13" x14ac:dyDescent="0.25">
      <c r="A21" s="18" t="s">
        <v>152</v>
      </c>
      <c r="B21" s="19" t="s">
        <v>38</v>
      </c>
      <c r="C21" s="18" t="s">
        <v>80</v>
      </c>
      <c r="D21" s="18" t="s">
        <v>120</v>
      </c>
      <c r="E21" s="11">
        <v>456622.77</v>
      </c>
      <c r="F21" t="s">
        <v>4</v>
      </c>
      <c r="G21" s="11">
        <v>915819.28</v>
      </c>
      <c r="H21" t="s">
        <v>4</v>
      </c>
      <c r="I21" s="11">
        <v>682172.69</v>
      </c>
      <c r="J21" t="s">
        <v>4</v>
      </c>
      <c r="L21" s="9">
        <v>45311</v>
      </c>
      <c r="M21" t="s">
        <v>53</v>
      </c>
    </row>
    <row r="22" spans="1:13" x14ac:dyDescent="0.25">
      <c r="A22" s="18" t="s">
        <v>153</v>
      </c>
      <c r="B22" s="19" t="s">
        <v>39</v>
      </c>
      <c r="C22" s="18" t="s">
        <v>87</v>
      </c>
      <c r="D22" s="18" t="s">
        <v>121</v>
      </c>
      <c r="E22" s="11">
        <v>584119.24</v>
      </c>
      <c r="F22" t="s">
        <v>4</v>
      </c>
      <c r="G22" s="11">
        <v>765785.34</v>
      </c>
      <c r="H22" t="s">
        <v>4</v>
      </c>
      <c r="I22" s="11">
        <v>340561.57</v>
      </c>
      <c r="J22" t="s">
        <v>4</v>
      </c>
      <c r="L22" s="9">
        <v>45312</v>
      </c>
      <c r="M22" t="s">
        <v>53</v>
      </c>
    </row>
    <row r="23" spans="1:13" x14ac:dyDescent="0.25">
      <c r="A23" s="18" t="s">
        <v>154</v>
      </c>
      <c r="B23" s="19" t="s">
        <v>40</v>
      </c>
      <c r="C23" s="18" t="s">
        <v>82</v>
      </c>
      <c r="D23" s="18" t="s">
        <v>104</v>
      </c>
      <c r="E23" s="11">
        <v>870083.19</v>
      </c>
      <c r="F23" t="s">
        <v>4</v>
      </c>
      <c r="G23" s="11">
        <v>529505.64</v>
      </c>
      <c r="H23" t="s">
        <v>4</v>
      </c>
      <c r="I23" s="11">
        <v>551759.54</v>
      </c>
      <c r="J23" t="s">
        <v>4</v>
      </c>
      <c r="K23" t="s">
        <v>6</v>
      </c>
      <c r="L23" s="9">
        <v>45313</v>
      </c>
      <c r="M23" t="s">
        <v>31</v>
      </c>
    </row>
    <row r="24" spans="1:13" x14ac:dyDescent="0.25">
      <c r="A24" s="18" t="s">
        <v>155</v>
      </c>
      <c r="B24" s="19" t="s">
        <v>40</v>
      </c>
      <c r="C24" s="18" t="s">
        <v>83</v>
      </c>
      <c r="D24" s="18" t="s">
        <v>105</v>
      </c>
      <c r="E24" s="11">
        <v>781697.8</v>
      </c>
      <c r="F24" t="s">
        <v>4</v>
      </c>
      <c r="G24" s="11">
        <v>824278.92</v>
      </c>
      <c r="H24" t="s">
        <v>4</v>
      </c>
      <c r="I24" s="11">
        <v>973595</v>
      </c>
      <c r="J24" t="s">
        <v>4</v>
      </c>
      <c r="K24" t="s">
        <v>3</v>
      </c>
      <c r="L24" s="9">
        <v>45314</v>
      </c>
      <c r="M24" t="s">
        <v>32</v>
      </c>
    </row>
    <row r="25" spans="1:13" x14ac:dyDescent="0.25">
      <c r="A25" s="18" t="s">
        <v>156</v>
      </c>
      <c r="B25" s="19" t="s">
        <v>40</v>
      </c>
      <c r="C25" s="18" t="s">
        <v>84</v>
      </c>
      <c r="D25" s="18" t="s">
        <v>106</v>
      </c>
      <c r="E25" s="11">
        <v>123082.47</v>
      </c>
      <c r="F25" t="s">
        <v>4</v>
      </c>
      <c r="G25" s="11">
        <v>204968.75</v>
      </c>
      <c r="H25" t="s">
        <v>4</v>
      </c>
      <c r="I25" s="11">
        <v>204495.45</v>
      </c>
      <c r="J25" t="s">
        <v>4</v>
      </c>
      <c r="K25" t="s">
        <v>6</v>
      </c>
      <c r="L25" s="9">
        <v>45315</v>
      </c>
      <c r="M25" t="s">
        <v>31</v>
      </c>
    </row>
    <row r="26" spans="1:13" x14ac:dyDescent="0.25">
      <c r="A26" s="18" t="s">
        <v>157</v>
      </c>
      <c r="B26" s="19" t="s">
        <v>40</v>
      </c>
      <c r="C26" s="18" t="s">
        <v>85</v>
      </c>
      <c r="D26" s="18" t="s">
        <v>107</v>
      </c>
      <c r="E26" s="11">
        <v>246963.25</v>
      </c>
      <c r="F26" t="s">
        <v>4</v>
      </c>
      <c r="G26" s="11">
        <v>113826.15</v>
      </c>
      <c r="H26" t="s">
        <v>4</v>
      </c>
      <c r="I26" s="11">
        <v>748369.02</v>
      </c>
      <c r="J26" t="s">
        <v>4</v>
      </c>
      <c r="K26" t="s">
        <v>52</v>
      </c>
      <c r="L26" s="9">
        <v>45316</v>
      </c>
      <c r="M26" t="s">
        <v>53</v>
      </c>
    </row>
    <row r="27" spans="1:13" x14ac:dyDescent="0.25">
      <c r="A27" s="18" t="s">
        <v>158</v>
      </c>
      <c r="B27" s="19" t="s">
        <v>40</v>
      </c>
      <c r="C27" s="18" t="s">
        <v>86</v>
      </c>
      <c r="D27" s="18" t="s">
        <v>108</v>
      </c>
      <c r="E27" s="11">
        <v>611674.66</v>
      </c>
      <c r="F27" t="s">
        <v>4</v>
      </c>
      <c r="G27" s="11">
        <v>578536.07999999996</v>
      </c>
      <c r="H27" t="s">
        <v>4</v>
      </c>
      <c r="I27" s="11">
        <v>148112.60999999999</v>
      </c>
      <c r="J27" t="s">
        <v>4</v>
      </c>
      <c r="K27" t="s">
        <v>130</v>
      </c>
      <c r="L27" s="9">
        <v>45317</v>
      </c>
      <c r="M27" t="s">
        <v>31</v>
      </c>
    </row>
    <row r="28" spans="1:13" x14ac:dyDescent="0.25">
      <c r="A28" s="18" t="s">
        <v>159</v>
      </c>
      <c r="B28" s="19" t="s">
        <v>39</v>
      </c>
      <c r="C28" s="18" t="s">
        <v>88</v>
      </c>
      <c r="D28" s="18" t="s">
        <v>122</v>
      </c>
      <c r="E28" s="11">
        <v>443643.97</v>
      </c>
      <c r="F28" t="s">
        <v>4</v>
      </c>
      <c r="G28" s="11">
        <v>861334.48</v>
      </c>
      <c r="H28" t="s">
        <v>4</v>
      </c>
      <c r="I28" s="11">
        <v>540715.5</v>
      </c>
      <c r="J28" t="s">
        <v>4</v>
      </c>
      <c r="L28" s="9">
        <v>45318</v>
      </c>
      <c r="M28" t="s">
        <v>53</v>
      </c>
    </row>
    <row r="29" spans="1:13" x14ac:dyDescent="0.25">
      <c r="A29" s="18" t="s">
        <v>160</v>
      </c>
      <c r="B29" s="19" t="s">
        <v>40</v>
      </c>
      <c r="C29" s="18" t="s">
        <v>82</v>
      </c>
      <c r="D29" s="18" t="s">
        <v>109</v>
      </c>
      <c r="E29" s="11">
        <v>701477.69</v>
      </c>
      <c r="F29" t="s">
        <v>4</v>
      </c>
      <c r="G29" s="11">
        <v>725833.55</v>
      </c>
      <c r="H29" t="s">
        <v>4</v>
      </c>
      <c r="I29" s="11">
        <v>306117.7</v>
      </c>
      <c r="J29" t="s">
        <v>4</v>
      </c>
      <c r="K29" t="s">
        <v>131</v>
      </c>
      <c r="L29" s="9">
        <v>45319</v>
      </c>
      <c r="M29" t="s">
        <v>53</v>
      </c>
    </row>
    <row r="30" spans="1:13" x14ac:dyDescent="0.25">
      <c r="A30" s="18" t="s">
        <v>161</v>
      </c>
      <c r="B30" s="19" t="s">
        <v>40</v>
      </c>
      <c r="C30" s="18" t="s">
        <v>83</v>
      </c>
      <c r="D30" s="18" t="s">
        <v>111</v>
      </c>
      <c r="E30" s="11">
        <v>936172.89</v>
      </c>
      <c r="F30" t="s">
        <v>4</v>
      </c>
      <c r="G30" s="11">
        <v>888309.97</v>
      </c>
      <c r="H30" t="s">
        <v>4</v>
      </c>
      <c r="I30" s="11">
        <v>915044.71</v>
      </c>
      <c r="J30" t="s">
        <v>4</v>
      </c>
      <c r="K30" t="s">
        <v>128</v>
      </c>
      <c r="L30" s="9">
        <v>45320</v>
      </c>
      <c r="M30" t="s">
        <v>31</v>
      </c>
    </row>
    <row r="31" spans="1:13" x14ac:dyDescent="0.25">
      <c r="A31" s="18" t="s">
        <v>162</v>
      </c>
      <c r="B31" s="19" t="s">
        <v>40</v>
      </c>
      <c r="C31" s="18" t="s">
        <v>84</v>
      </c>
      <c r="D31" s="18" t="s">
        <v>112</v>
      </c>
      <c r="E31" s="11">
        <v>774833.07</v>
      </c>
      <c r="F31" t="s">
        <v>4</v>
      </c>
      <c r="G31" s="11">
        <v>214528.59</v>
      </c>
      <c r="H31" t="s">
        <v>4</v>
      </c>
      <c r="I31" s="11">
        <v>617471.81000000006</v>
      </c>
      <c r="J31" t="s">
        <v>4</v>
      </c>
      <c r="K31" t="s">
        <v>132</v>
      </c>
      <c r="L31" s="9">
        <v>45321</v>
      </c>
      <c r="M31" t="s">
        <v>32</v>
      </c>
    </row>
    <row r="32" spans="1:13" x14ac:dyDescent="0.25">
      <c r="A32" s="18" t="s">
        <v>163</v>
      </c>
      <c r="B32" s="19" t="s">
        <v>40</v>
      </c>
      <c r="C32" s="18" t="s">
        <v>85</v>
      </c>
      <c r="D32" s="18" t="s">
        <v>113</v>
      </c>
      <c r="E32" s="11">
        <v>557935.69999999995</v>
      </c>
      <c r="F32" t="s">
        <v>4</v>
      </c>
      <c r="G32" s="11">
        <v>735494.07</v>
      </c>
      <c r="H32" t="s">
        <v>4</v>
      </c>
      <c r="I32" s="11">
        <v>943117.15</v>
      </c>
      <c r="J32" t="s">
        <v>4</v>
      </c>
      <c r="K32" t="s">
        <v>52</v>
      </c>
      <c r="L32" s="9">
        <v>45322</v>
      </c>
      <c r="M32" t="s">
        <v>31</v>
      </c>
    </row>
    <row r="33" spans="1:13" x14ac:dyDescent="0.25">
      <c r="A33" s="18" t="s">
        <v>164</v>
      </c>
      <c r="B33" s="19" t="s">
        <v>40</v>
      </c>
      <c r="C33" s="18" t="s">
        <v>86</v>
      </c>
      <c r="D33" s="18" t="s">
        <v>114</v>
      </c>
      <c r="E33" s="11">
        <v>273774.68</v>
      </c>
      <c r="F33" t="s">
        <v>4</v>
      </c>
      <c r="G33" s="11">
        <v>264874.75</v>
      </c>
      <c r="H33" t="s">
        <v>4</v>
      </c>
      <c r="I33" s="11">
        <v>190904.47</v>
      </c>
      <c r="J33" t="s">
        <v>4</v>
      </c>
      <c r="K33" t="s">
        <v>33</v>
      </c>
      <c r="L33" s="9">
        <v>45323</v>
      </c>
      <c r="M33" t="s">
        <v>31</v>
      </c>
    </row>
    <row r="34" spans="1:13" x14ac:dyDescent="0.25">
      <c r="A34" s="18" t="s">
        <v>165</v>
      </c>
      <c r="B34" s="19" t="s">
        <v>39</v>
      </c>
      <c r="C34" s="18" t="s">
        <v>89</v>
      </c>
      <c r="D34" s="18" t="s">
        <v>123</v>
      </c>
      <c r="E34" s="11">
        <v>717931.82</v>
      </c>
      <c r="F34" t="s">
        <v>4</v>
      </c>
      <c r="G34" s="11">
        <v>580090.03</v>
      </c>
      <c r="H34" t="s">
        <v>4</v>
      </c>
      <c r="I34" s="11">
        <v>484574.13</v>
      </c>
      <c r="J34" t="s">
        <v>4</v>
      </c>
      <c r="L34" s="9">
        <v>45324</v>
      </c>
      <c r="M34" t="s">
        <v>53</v>
      </c>
    </row>
    <row r="35" spans="1:13" x14ac:dyDescent="0.25">
      <c r="A35" s="18" t="s">
        <v>166</v>
      </c>
      <c r="B35" s="19" t="s">
        <v>40</v>
      </c>
      <c r="C35" s="18" t="s">
        <v>82</v>
      </c>
      <c r="D35" s="18" t="s">
        <v>110</v>
      </c>
      <c r="E35" s="11">
        <v>375859.77</v>
      </c>
      <c r="F35" t="s">
        <v>4</v>
      </c>
      <c r="G35" s="11">
        <v>767839.37</v>
      </c>
      <c r="H35" t="s">
        <v>4</v>
      </c>
      <c r="I35" s="11">
        <v>772331.2</v>
      </c>
      <c r="J35" t="s">
        <v>4</v>
      </c>
      <c r="K35" t="s">
        <v>131</v>
      </c>
      <c r="L35" s="9">
        <v>45325</v>
      </c>
      <c r="M35" t="s">
        <v>31</v>
      </c>
    </row>
    <row r="36" spans="1:13" x14ac:dyDescent="0.25">
      <c r="A36" s="18" t="s">
        <v>167</v>
      </c>
      <c r="B36" s="19" t="s">
        <v>40</v>
      </c>
      <c r="C36" s="18" t="s">
        <v>83</v>
      </c>
      <c r="D36" s="18" t="s">
        <v>115</v>
      </c>
      <c r="E36" s="11">
        <v>102729.28</v>
      </c>
      <c r="F36" t="s">
        <v>4</v>
      </c>
      <c r="G36" s="11">
        <v>401961.83</v>
      </c>
      <c r="H36" t="s">
        <v>4</v>
      </c>
      <c r="I36" s="11">
        <v>518519.66</v>
      </c>
      <c r="J36" t="s">
        <v>4</v>
      </c>
      <c r="K36" t="s">
        <v>129</v>
      </c>
      <c r="L36" s="9">
        <v>45326</v>
      </c>
      <c r="M36" t="s">
        <v>31</v>
      </c>
    </row>
    <row r="37" spans="1:13" x14ac:dyDescent="0.25">
      <c r="A37" s="18" t="s">
        <v>168</v>
      </c>
      <c r="B37" s="19" t="s">
        <v>40</v>
      </c>
      <c r="C37" s="18" t="s">
        <v>84</v>
      </c>
      <c r="D37" s="18" t="s">
        <v>116</v>
      </c>
      <c r="E37" s="11">
        <v>451143.22</v>
      </c>
      <c r="F37" t="s">
        <v>4</v>
      </c>
      <c r="G37" s="11">
        <v>445074.48</v>
      </c>
      <c r="H37" t="s">
        <v>4</v>
      </c>
      <c r="I37" s="11">
        <v>282190.15999999997</v>
      </c>
      <c r="J37" t="s">
        <v>4</v>
      </c>
      <c r="K37" t="s">
        <v>5</v>
      </c>
      <c r="L37" s="9">
        <v>45327</v>
      </c>
      <c r="M37" t="s">
        <v>32</v>
      </c>
    </row>
    <row r="38" spans="1:13" x14ac:dyDescent="0.25">
      <c r="A38" s="18" t="s">
        <v>169</v>
      </c>
      <c r="B38" s="19" t="s">
        <v>40</v>
      </c>
      <c r="C38" s="18" t="s">
        <v>85</v>
      </c>
      <c r="D38" s="18" t="s">
        <v>117</v>
      </c>
      <c r="E38" s="11">
        <v>884493.87</v>
      </c>
      <c r="F38" t="s">
        <v>4</v>
      </c>
      <c r="G38" s="11">
        <v>673752.99</v>
      </c>
      <c r="H38" t="s">
        <v>4</v>
      </c>
      <c r="I38" s="11">
        <v>236862.31</v>
      </c>
      <c r="J38" t="s">
        <v>4</v>
      </c>
      <c r="K38" t="s">
        <v>33</v>
      </c>
      <c r="L38" s="9">
        <v>45328</v>
      </c>
      <c r="M38" t="s">
        <v>53</v>
      </c>
    </row>
    <row r="39" spans="1:13" x14ac:dyDescent="0.25">
      <c r="A39" s="18" t="s">
        <v>170</v>
      </c>
      <c r="B39" s="19" t="s">
        <v>40</v>
      </c>
      <c r="C39" s="18" t="s">
        <v>86</v>
      </c>
      <c r="D39" s="18" t="s">
        <v>118</v>
      </c>
      <c r="E39" s="11">
        <v>595179.99</v>
      </c>
      <c r="F39" t="s">
        <v>4</v>
      </c>
      <c r="G39" s="11">
        <v>189068.94</v>
      </c>
      <c r="H39" t="s">
        <v>4</v>
      </c>
      <c r="I39" s="11">
        <v>922257.85</v>
      </c>
      <c r="J39" t="s">
        <v>4</v>
      </c>
      <c r="K39" t="s">
        <v>33</v>
      </c>
      <c r="L39" s="9">
        <v>45329</v>
      </c>
      <c r="M39" t="s">
        <v>31</v>
      </c>
    </row>
    <row r="40" spans="1:13" x14ac:dyDescent="0.25">
      <c r="A40" s="18" t="s">
        <v>171</v>
      </c>
      <c r="B40" s="19" t="s">
        <v>37</v>
      </c>
      <c r="C40" s="18" t="s">
        <v>90</v>
      </c>
      <c r="D40" s="18" t="s">
        <v>124</v>
      </c>
      <c r="E40" s="11">
        <v>190441.1</v>
      </c>
      <c r="F40" t="s">
        <v>4</v>
      </c>
      <c r="G40" s="11">
        <v>969159.33</v>
      </c>
      <c r="H40" t="s">
        <v>4</v>
      </c>
      <c r="I40" s="11">
        <v>625369.46</v>
      </c>
      <c r="J40" t="s">
        <v>4</v>
      </c>
      <c r="L40" s="9">
        <v>45330</v>
      </c>
      <c r="M40" t="s">
        <v>31</v>
      </c>
    </row>
    <row r="41" spans="1:13" x14ac:dyDescent="0.25">
      <c r="A41" s="18" t="s">
        <v>172</v>
      </c>
      <c r="B41" s="19" t="s">
        <v>38</v>
      </c>
      <c r="C41" s="18" t="s">
        <v>91</v>
      </c>
      <c r="D41" s="18" t="s">
        <v>125</v>
      </c>
      <c r="E41" s="11">
        <v>426391.09</v>
      </c>
      <c r="F41" t="s">
        <v>4</v>
      </c>
      <c r="G41" s="11">
        <v>548807.30000000005</v>
      </c>
      <c r="H41" t="s">
        <v>4</v>
      </c>
      <c r="I41" s="11">
        <v>689086.67</v>
      </c>
      <c r="J41" t="s">
        <v>4</v>
      </c>
      <c r="L41" s="9">
        <v>45331</v>
      </c>
      <c r="M41" t="s">
        <v>31</v>
      </c>
    </row>
    <row r="42" spans="1:13" x14ac:dyDescent="0.25">
      <c r="A42" s="18" t="s">
        <v>173</v>
      </c>
      <c r="B42" s="19" t="s">
        <v>39</v>
      </c>
      <c r="C42" s="18" t="s">
        <v>92</v>
      </c>
      <c r="D42" s="18" t="s">
        <v>126</v>
      </c>
      <c r="E42" s="11">
        <v>770234.89</v>
      </c>
      <c r="F42" t="s">
        <v>4</v>
      </c>
      <c r="G42" s="11">
        <v>505488.66</v>
      </c>
      <c r="H42" t="s">
        <v>4</v>
      </c>
      <c r="I42" s="11">
        <v>703006.03</v>
      </c>
      <c r="J42" t="s">
        <v>4</v>
      </c>
      <c r="L42" s="9">
        <v>45332</v>
      </c>
      <c r="M42" t="s">
        <v>31</v>
      </c>
    </row>
    <row r="43" spans="1:13" x14ac:dyDescent="0.25">
      <c r="A43" s="18" t="s">
        <v>174</v>
      </c>
      <c r="B43" s="19" t="s">
        <v>40</v>
      </c>
      <c r="C43" s="18" t="s">
        <v>93</v>
      </c>
      <c r="D43" s="18" t="s">
        <v>99</v>
      </c>
      <c r="E43" s="11">
        <v>733848.95</v>
      </c>
      <c r="F43" t="s">
        <v>4</v>
      </c>
      <c r="G43" s="11">
        <v>239053.69</v>
      </c>
      <c r="H43" t="s">
        <v>4</v>
      </c>
      <c r="I43" s="11">
        <v>897328.57</v>
      </c>
      <c r="J43" t="s">
        <v>4</v>
      </c>
      <c r="K43" t="s">
        <v>132</v>
      </c>
      <c r="L43" s="9">
        <v>45333</v>
      </c>
      <c r="M43" t="s">
        <v>31</v>
      </c>
    </row>
    <row r="44" spans="1:13" x14ac:dyDescent="0.25">
      <c r="A44" s="18" t="s">
        <v>175</v>
      </c>
      <c r="B44" s="19" t="s">
        <v>41</v>
      </c>
      <c r="C44" s="18" t="s">
        <v>94</v>
      </c>
      <c r="D44" s="18" t="s">
        <v>100</v>
      </c>
      <c r="E44" s="11">
        <v>598547.18999999994</v>
      </c>
      <c r="F44" t="s">
        <v>4</v>
      </c>
      <c r="G44" s="11">
        <v>301524.87</v>
      </c>
      <c r="H44" t="s">
        <v>4</v>
      </c>
      <c r="I44" s="11">
        <v>255282.52</v>
      </c>
      <c r="J44" t="s">
        <v>4</v>
      </c>
      <c r="K44" t="s">
        <v>127</v>
      </c>
      <c r="L44" s="9">
        <v>45334</v>
      </c>
      <c r="M44" t="s">
        <v>32</v>
      </c>
    </row>
    <row r="45" spans="1:13" x14ac:dyDescent="0.25">
      <c r="A45" s="18" t="s">
        <v>176</v>
      </c>
      <c r="B45" s="19" t="s">
        <v>98</v>
      </c>
      <c r="C45" s="18" t="s">
        <v>95</v>
      </c>
      <c r="D45" s="18" t="s">
        <v>101</v>
      </c>
      <c r="E45" s="11">
        <v>978511.93</v>
      </c>
      <c r="F45" t="s">
        <v>4</v>
      </c>
      <c r="G45" s="11">
        <v>141057.56</v>
      </c>
      <c r="H45" t="s">
        <v>4</v>
      </c>
      <c r="I45" s="11">
        <v>933907.8</v>
      </c>
      <c r="J45" t="s">
        <v>4</v>
      </c>
      <c r="K45" t="s">
        <v>131</v>
      </c>
      <c r="L45" s="9">
        <v>45335</v>
      </c>
      <c r="M45" t="s">
        <v>31</v>
      </c>
    </row>
    <row r="46" spans="1:13" x14ac:dyDescent="0.25">
      <c r="A46" s="18" t="s">
        <v>177</v>
      </c>
      <c r="B46" s="19" t="s">
        <v>98</v>
      </c>
      <c r="C46" s="18" t="s">
        <v>96</v>
      </c>
      <c r="D46" s="18" t="s">
        <v>102</v>
      </c>
      <c r="E46" s="11">
        <v>959017.05</v>
      </c>
      <c r="F46" t="s">
        <v>4</v>
      </c>
      <c r="G46" s="11">
        <v>214990.74</v>
      </c>
      <c r="H46" t="s">
        <v>4</v>
      </c>
      <c r="I46" s="11">
        <v>521894.55</v>
      </c>
      <c r="J46" t="s">
        <v>4</v>
      </c>
      <c r="K46" t="s">
        <v>3</v>
      </c>
      <c r="L46" s="9">
        <v>45336</v>
      </c>
      <c r="M46" t="s">
        <v>31</v>
      </c>
    </row>
    <row r="47" spans="1:13" x14ac:dyDescent="0.25">
      <c r="A47" s="18" t="s">
        <v>178</v>
      </c>
      <c r="B47" s="19" t="s">
        <v>98</v>
      </c>
      <c r="C47" s="18" t="s">
        <v>97</v>
      </c>
      <c r="D47" s="18" t="s">
        <v>103</v>
      </c>
      <c r="E47" s="11">
        <v>279269.53999999998</v>
      </c>
      <c r="F47" t="s">
        <v>4</v>
      </c>
      <c r="G47" s="11">
        <v>802461.51</v>
      </c>
      <c r="H47" t="s">
        <v>4</v>
      </c>
      <c r="I47" s="11">
        <v>282086.51</v>
      </c>
      <c r="J47" t="s">
        <v>4</v>
      </c>
      <c r="K47" t="s">
        <v>128</v>
      </c>
      <c r="L47" s="9">
        <v>45337</v>
      </c>
      <c r="M47" t="s">
        <v>53</v>
      </c>
    </row>
  </sheetData>
  <phoneticPr fontId="6" type="noConversion"/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F8FC2-00D0-4C02-9B7E-F7659E94F8AC}">
  <sheetPr codeName="Sheet2"/>
  <dimension ref="A1:O27"/>
  <sheetViews>
    <sheetView workbookViewId="0">
      <selection activeCell="D6" sqref="D6"/>
    </sheetView>
  </sheetViews>
  <sheetFormatPr defaultRowHeight="15" x14ac:dyDescent="0.25"/>
  <cols>
    <col min="1" max="1" width="14" bestFit="1" customWidth="1"/>
    <col min="2" max="2" width="18.5703125" bestFit="1" customWidth="1"/>
    <col min="4" max="4" width="20" customWidth="1"/>
    <col min="5" max="5" width="14.140625" style="1" customWidth="1"/>
    <col min="6" max="7" width="14.7109375" style="1" customWidth="1"/>
    <col min="8" max="9" width="14.7109375" customWidth="1"/>
    <col min="10" max="12" width="11" customWidth="1"/>
    <col min="13" max="13" width="13.7109375" style="3" customWidth="1"/>
    <col min="14" max="14" width="20.5703125" customWidth="1"/>
    <col min="15" max="15" width="16.7109375" bestFit="1" customWidth="1"/>
  </cols>
  <sheetData>
    <row r="1" spans="1:15" ht="20.25" thickBot="1" x14ac:dyDescent="0.35">
      <c r="A1" s="8" t="s">
        <v>20</v>
      </c>
    </row>
    <row r="2" spans="1:15" ht="18.75" thickTop="1" thickBot="1" x14ac:dyDescent="0.35">
      <c r="A2" s="6" t="s">
        <v>21</v>
      </c>
    </row>
    <row r="3" spans="1:15" ht="16.5" thickTop="1" thickBot="1" x14ac:dyDescent="0.3">
      <c r="A3" s="7" t="s">
        <v>22</v>
      </c>
    </row>
    <row r="4" spans="1:15" x14ac:dyDescent="0.25">
      <c r="A4" t="s">
        <v>204</v>
      </c>
      <c r="B4" t="s">
        <v>205</v>
      </c>
      <c r="C4" t="s">
        <v>209</v>
      </c>
      <c r="D4" t="s">
        <v>211</v>
      </c>
      <c r="E4" s="1" t="s">
        <v>16</v>
      </c>
      <c r="F4" s="21" t="s">
        <v>1</v>
      </c>
      <c r="G4" s="21" t="s">
        <v>212</v>
      </c>
      <c r="H4" s="22" t="s">
        <v>213</v>
      </c>
      <c r="I4" s="22" t="s">
        <v>236</v>
      </c>
      <c r="J4" s="22" t="s">
        <v>237</v>
      </c>
      <c r="K4" s="22" t="s">
        <v>238</v>
      </c>
      <c r="L4" s="22" t="s">
        <v>239</v>
      </c>
      <c r="M4" s="23" t="s">
        <v>214</v>
      </c>
      <c r="N4" t="s">
        <v>17</v>
      </c>
      <c r="O4" t="s">
        <v>2</v>
      </c>
    </row>
    <row r="5" spans="1:15" x14ac:dyDescent="0.25">
      <c r="A5" t="s">
        <v>218</v>
      </c>
      <c r="B5" t="s">
        <v>225</v>
      </c>
      <c r="C5" t="s">
        <v>206</v>
      </c>
      <c r="D5" t="s">
        <v>48</v>
      </c>
      <c r="E5" s="1" t="s">
        <v>60</v>
      </c>
      <c r="F5" s="1">
        <v>860227.24</v>
      </c>
      <c r="G5" s="1">
        <v>104675.21</v>
      </c>
      <c r="H5" s="1">
        <v>848502.78</v>
      </c>
      <c r="I5" s="1">
        <f>Table4[[#This Row],[Budget]]-Table4[[#This Row],[Actualised]]-Table4[[#This Row],[Committed]]</f>
        <v>-92950.75</v>
      </c>
      <c r="J5" s="5">
        <f>Table4[[#This Row],[Actualised]]/Table4[[#This Row],[Budget]]</f>
        <v>0.12168320779983671</v>
      </c>
      <c r="K5" s="5">
        <f>Table4[[#This Row],[Committed]]/Table4[[#This Row],[Budget]]</f>
        <v>0.98637050833219375</v>
      </c>
      <c r="L5" s="5">
        <f>Table4[[#This Row],[Available]]/Table4[[#This Row],[Committed]]</f>
        <v>-0.1095467830995203</v>
      </c>
      <c r="M5" s="12">
        <v>45298</v>
      </c>
      <c r="N5" t="s">
        <v>132</v>
      </c>
      <c r="O5" t="s">
        <v>32</v>
      </c>
    </row>
    <row r="6" spans="1:15" x14ac:dyDescent="0.25">
      <c r="A6" t="s">
        <v>218</v>
      </c>
      <c r="B6" t="s">
        <v>225</v>
      </c>
      <c r="C6" t="s">
        <v>206</v>
      </c>
      <c r="D6" t="s">
        <v>49</v>
      </c>
      <c r="E6" s="1" t="s">
        <v>61</v>
      </c>
      <c r="F6" s="1">
        <v>759261.75</v>
      </c>
      <c r="G6" s="1">
        <v>139491.19</v>
      </c>
      <c r="H6" s="1">
        <v>547878.11</v>
      </c>
      <c r="I6" s="1">
        <f>Table4[[#This Row],[Budget]]-Table4[[#This Row],[Actualised]]-Table4[[#This Row],[Committed]]</f>
        <v>71892.45000000007</v>
      </c>
      <c r="J6" s="13">
        <f>Table4[[#This Row],[Actualised]]/Table4[[#This Row],[Budget]]</f>
        <v>0.18371950121285577</v>
      </c>
      <c r="K6" s="13">
        <f>Table4[[#This Row],[Committed]]/Table4[[#This Row],[Budget]]</f>
        <v>0.72159319233452757</v>
      </c>
      <c r="L6" s="13">
        <f>Table4[[#This Row],[Available]]/Table4[[#This Row],[Committed]]</f>
        <v>0.13121978901475015</v>
      </c>
      <c r="M6" s="12">
        <v>45299</v>
      </c>
      <c r="N6" t="s">
        <v>5</v>
      </c>
      <c r="O6" t="s">
        <v>53</v>
      </c>
    </row>
    <row r="7" spans="1:15" x14ac:dyDescent="0.25">
      <c r="A7" t="s">
        <v>218</v>
      </c>
      <c r="B7" t="s">
        <v>225</v>
      </c>
      <c r="C7" t="s">
        <v>206</v>
      </c>
      <c r="D7" t="s">
        <v>50</v>
      </c>
      <c r="E7" s="1" t="s">
        <v>62</v>
      </c>
      <c r="F7" s="1">
        <v>468121.56</v>
      </c>
      <c r="G7" s="1">
        <v>859925.66</v>
      </c>
      <c r="H7" s="1">
        <v>184777.24</v>
      </c>
      <c r="I7" s="1">
        <f>Table4[[#This Row],[Budget]]-Table4[[#This Row],[Actualised]]-Table4[[#This Row],[Committed]]</f>
        <v>-576581.34000000008</v>
      </c>
      <c r="J7" s="13">
        <f>Table4[[#This Row],[Actualised]]/Table4[[#This Row],[Budget]]</f>
        <v>1.8369708500501452</v>
      </c>
      <c r="K7" s="13">
        <f>Table4[[#This Row],[Committed]]/Table4[[#This Row],[Budget]]</f>
        <v>0.39472063623816001</v>
      </c>
      <c r="L7" s="13">
        <f>Table4[[#This Row],[Available]]/Table4[[#This Row],[Committed]]</f>
        <v>-3.1204132067347694</v>
      </c>
      <c r="M7" s="12">
        <v>45300</v>
      </c>
      <c r="N7" t="s">
        <v>6</v>
      </c>
      <c r="O7" t="s">
        <v>53</v>
      </c>
    </row>
    <row r="8" spans="1:15" x14ac:dyDescent="0.25">
      <c r="A8" t="s">
        <v>218</v>
      </c>
      <c r="B8" t="s">
        <v>225</v>
      </c>
      <c r="C8" t="s">
        <v>206</v>
      </c>
      <c r="D8" t="s">
        <v>51</v>
      </c>
      <c r="E8" s="1" t="s">
        <v>63</v>
      </c>
      <c r="F8" s="1">
        <v>996044.1</v>
      </c>
      <c r="G8" s="1">
        <v>627595.15</v>
      </c>
      <c r="H8" s="1">
        <v>622049</v>
      </c>
      <c r="I8" s="1">
        <f>Table4[[#This Row],[Budget]]-Table4[[#This Row],[Actualised]]-Table4[[#This Row],[Committed]]</f>
        <v>-253600.05000000005</v>
      </c>
      <c r="J8" s="13">
        <f>Table4[[#This Row],[Actualised]]/Table4[[#This Row],[Budget]]</f>
        <v>0.6300877139877642</v>
      </c>
      <c r="K8" s="13">
        <f>Table4[[#This Row],[Committed]]/Table4[[#This Row],[Budget]]</f>
        <v>0.62451953683576866</v>
      </c>
      <c r="L8" s="13">
        <f>Table4[[#This Row],[Available]]/Table4[[#This Row],[Committed]]</f>
        <v>-0.4076850055220731</v>
      </c>
      <c r="M8" s="12">
        <v>45301</v>
      </c>
      <c r="N8" t="s">
        <v>52</v>
      </c>
      <c r="O8" t="s">
        <v>31</v>
      </c>
    </row>
    <row r="9" spans="1:15" x14ac:dyDescent="0.25">
      <c r="A9" t="s">
        <v>218</v>
      </c>
      <c r="B9" t="s">
        <v>225</v>
      </c>
      <c r="C9" t="s">
        <v>206</v>
      </c>
      <c r="D9" t="s">
        <v>66</v>
      </c>
      <c r="E9" s="1" t="s">
        <v>64</v>
      </c>
      <c r="F9" s="1">
        <v>894649.25</v>
      </c>
      <c r="G9" s="1">
        <v>278919.55</v>
      </c>
      <c r="H9" s="1">
        <v>283753.94</v>
      </c>
      <c r="I9" s="1">
        <f>Table4[[#This Row],[Budget]]-Table4[[#This Row],[Actualised]]-Table4[[#This Row],[Committed]]</f>
        <v>331975.75999999995</v>
      </c>
      <c r="J9" s="13">
        <f>Table4[[#This Row],[Actualised]]/Table4[[#This Row],[Budget]]</f>
        <v>0.31176413549779425</v>
      </c>
      <c r="K9" s="13">
        <f>Table4[[#This Row],[Committed]]/Table4[[#This Row],[Budget]]</f>
        <v>0.31716780626597518</v>
      </c>
      <c r="L9" s="13">
        <f>Table4[[#This Row],[Available]]/Table4[[#This Row],[Committed]]</f>
        <v>1.1699423803595466</v>
      </c>
      <c r="M9" s="12">
        <v>45302</v>
      </c>
      <c r="N9" t="s">
        <v>132</v>
      </c>
      <c r="O9" t="s">
        <v>32</v>
      </c>
    </row>
    <row r="10" spans="1:15" x14ac:dyDescent="0.25">
      <c r="A10" t="s">
        <v>218</v>
      </c>
      <c r="B10" t="s">
        <v>225</v>
      </c>
      <c r="C10" t="s">
        <v>210</v>
      </c>
      <c r="D10" t="s">
        <v>67</v>
      </c>
      <c r="E10" s="1" t="s">
        <v>74</v>
      </c>
      <c r="F10" s="1">
        <v>565349.55000000005</v>
      </c>
      <c r="G10" s="1">
        <v>765382.62</v>
      </c>
      <c r="H10" s="1">
        <v>148053.48000000001</v>
      </c>
      <c r="I10" s="1">
        <f>Table4[[#This Row],[Budget]]-Table4[[#This Row],[Actualised]]-Table4[[#This Row],[Committed]]</f>
        <v>-348086.54999999993</v>
      </c>
      <c r="J10" s="13">
        <f>Table4[[#This Row],[Actualised]]/Table4[[#This Row],[Budget]]</f>
        <v>1.3538219319357376</v>
      </c>
      <c r="K10" s="13">
        <f>Table4[[#This Row],[Committed]]/Table4[[#This Row],[Budget]]</f>
        <v>0.26187953983513385</v>
      </c>
      <c r="L10" s="13">
        <f>Table4[[#This Row],[Available]]/Table4[[#This Row],[Committed]]</f>
        <v>-2.3510865803356995</v>
      </c>
      <c r="M10" s="12">
        <v>45303</v>
      </c>
      <c r="N10" t="s">
        <v>3</v>
      </c>
      <c r="O10" t="s">
        <v>53</v>
      </c>
    </row>
    <row r="11" spans="1:15" x14ac:dyDescent="0.25">
      <c r="A11" t="s">
        <v>218</v>
      </c>
      <c r="B11" t="s">
        <v>225</v>
      </c>
      <c r="C11" t="s">
        <v>206</v>
      </c>
      <c r="D11" t="s">
        <v>68</v>
      </c>
      <c r="E11" s="1" t="s">
        <v>75</v>
      </c>
      <c r="F11" s="1">
        <v>646178.22</v>
      </c>
      <c r="G11" s="1">
        <v>633801.85</v>
      </c>
      <c r="H11" s="1">
        <v>810775.41</v>
      </c>
      <c r="I11" s="1">
        <f>Table4[[#This Row],[Budget]]-Table4[[#This Row],[Actualised]]-Table4[[#This Row],[Committed]]</f>
        <v>-798399.04</v>
      </c>
      <c r="J11" s="13">
        <f>Table4[[#This Row],[Actualised]]/Table4[[#This Row],[Budget]]</f>
        <v>0.98084681653306116</v>
      </c>
      <c r="K11" s="13">
        <f>Table4[[#This Row],[Committed]]/Table4[[#This Row],[Budget]]</f>
        <v>1.2547241378701994</v>
      </c>
      <c r="L11" s="13">
        <f>Table4[[#This Row],[Available]]/Table4[[#This Row],[Committed]]</f>
        <v>-0.98473514385444916</v>
      </c>
      <c r="M11" s="12">
        <v>45304</v>
      </c>
      <c r="N11" t="s">
        <v>130</v>
      </c>
      <c r="O11" t="s">
        <v>31</v>
      </c>
    </row>
    <row r="12" spans="1:15" x14ac:dyDescent="0.25">
      <c r="A12" t="s">
        <v>218</v>
      </c>
      <c r="B12" t="s">
        <v>225</v>
      </c>
      <c r="C12" t="s">
        <v>206</v>
      </c>
      <c r="D12" t="s">
        <v>69</v>
      </c>
      <c r="E12" s="1" t="s">
        <v>76</v>
      </c>
      <c r="F12" s="1">
        <v>489407.51</v>
      </c>
      <c r="G12" s="1">
        <v>423136.85</v>
      </c>
      <c r="H12" s="1">
        <v>338952.38</v>
      </c>
      <c r="I12" s="1">
        <f>Table4[[#This Row],[Budget]]-Table4[[#This Row],[Actualised]]-Table4[[#This Row],[Committed]]</f>
        <v>-272681.71999999997</v>
      </c>
      <c r="J12" s="13">
        <f>Table4[[#This Row],[Actualised]]/Table4[[#This Row],[Budget]]</f>
        <v>0.86459002233128779</v>
      </c>
      <c r="K12" s="13">
        <f>Table4[[#This Row],[Committed]]/Table4[[#This Row],[Budget]]</f>
        <v>0.69257698967471915</v>
      </c>
      <c r="L12" s="13">
        <f>Table4[[#This Row],[Available]]/Table4[[#This Row],[Committed]]</f>
        <v>-0.80448386289543083</v>
      </c>
      <c r="M12" s="12">
        <v>45305</v>
      </c>
      <c r="N12" t="s">
        <v>131</v>
      </c>
      <c r="O12" t="s">
        <v>32</v>
      </c>
    </row>
    <row r="13" spans="1:15" x14ac:dyDescent="0.25">
      <c r="A13" t="s">
        <v>218</v>
      </c>
      <c r="B13" t="s">
        <v>225</v>
      </c>
      <c r="C13" t="s">
        <v>206</v>
      </c>
      <c r="D13" t="s">
        <v>70</v>
      </c>
      <c r="E13" s="1" t="s">
        <v>65</v>
      </c>
      <c r="F13" s="1">
        <v>448386.99</v>
      </c>
      <c r="G13" s="1">
        <v>108815.23</v>
      </c>
      <c r="H13" s="1">
        <v>564695.69999999995</v>
      </c>
      <c r="I13" s="1">
        <f>Table4[[#This Row],[Budget]]-Table4[[#This Row],[Actualised]]-Table4[[#This Row],[Committed]]</f>
        <v>-225123.93999999994</v>
      </c>
      <c r="J13" s="13">
        <f>Table4[[#This Row],[Actualised]]/Table4[[#This Row],[Budget]]</f>
        <v>0.24268150599106364</v>
      </c>
      <c r="K13" s="13">
        <f>Table4[[#This Row],[Committed]]/Table4[[#This Row],[Budget]]</f>
        <v>1.2593935876685449</v>
      </c>
      <c r="L13" s="13">
        <f>Table4[[#This Row],[Available]]/Table4[[#This Row],[Committed]]</f>
        <v>-0.39866416549656736</v>
      </c>
      <c r="M13" s="12">
        <v>45306</v>
      </c>
      <c r="N13" t="s">
        <v>33</v>
      </c>
      <c r="O13" t="s">
        <v>32</v>
      </c>
    </row>
    <row r="14" spans="1:15" x14ac:dyDescent="0.25">
      <c r="A14" t="s">
        <v>218</v>
      </c>
      <c r="B14" t="s">
        <v>225</v>
      </c>
      <c r="C14" t="s">
        <v>206</v>
      </c>
      <c r="D14" t="s">
        <v>71</v>
      </c>
      <c r="E14" s="1" t="s">
        <v>77</v>
      </c>
      <c r="F14" s="1">
        <v>997549.38</v>
      </c>
      <c r="G14" s="1">
        <v>202376.5</v>
      </c>
      <c r="H14" s="1">
        <v>231584.44</v>
      </c>
      <c r="I14" s="1">
        <f>Table4[[#This Row],[Budget]]-Table4[[#This Row],[Actualised]]-Table4[[#This Row],[Committed]]</f>
        <v>563588.43999999994</v>
      </c>
      <c r="J14" s="13">
        <f>Table4[[#This Row],[Actualised]]/Table4[[#This Row],[Budget]]</f>
        <v>0.20287366626401993</v>
      </c>
      <c r="K14" s="13">
        <f>Table4[[#This Row],[Committed]]/Table4[[#This Row],[Budget]]</f>
        <v>0.23215335966626535</v>
      </c>
      <c r="L14" s="13">
        <f>Table4[[#This Row],[Available]]/Table4[[#This Row],[Committed]]</f>
        <v>2.4336196335125102</v>
      </c>
      <c r="M14" s="12">
        <v>45307</v>
      </c>
      <c r="N14" t="s">
        <v>52</v>
      </c>
      <c r="O14" t="s">
        <v>53</v>
      </c>
    </row>
    <row r="15" spans="1:15" x14ac:dyDescent="0.25">
      <c r="A15" t="s">
        <v>218</v>
      </c>
      <c r="B15" t="s">
        <v>225</v>
      </c>
      <c r="C15" t="s">
        <v>206</v>
      </c>
      <c r="D15" t="s">
        <v>72</v>
      </c>
      <c r="E15" s="1" t="s">
        <v>78</v>
      </c>
      <c r="F15" s="1">
        <v>832897.78</v>
      </c>
      <c r="G15" s="1">
        <v>420038.74</v>
      </c>
      <c r="H15" s="1">
        <v>340506.44</v>
      </c>
      <c r="I15" s="1">
        <f>Table4[[#This Row],[Budget]]-Table4[[#This Row],[Actualised]]-Table4[[#This Row],[Committed]]</f>
        <v>72352.600000000035</v>
      </c>
      <c r="J15" s="13">
        <f>Table4[[#This Row],[Actualised]]/Table4[[#This Row],[Budget]]</f>
        <v>0.50431007271984807</v>
      </c>
      <c r="K15" s="13">
        <f>Table4[[#This Row],[Committed]]/Table4[[#This Row],[Budget]]</f>
        <v>0.40882140423042068</v>
      </c>
      <c r="L15" s="13">
        <f>Table4[[#This Row],[Available]]/Table4[[#This Row],[Committed]]</f>
        <v>0.21248526165907475</v>
      </c>
      <c r="M15" s="12">
        <v>45308</v>
      </c>
      <c r="N15" t="s">
        <v>5</v>
      </c>
      <c r="O15" t="s">
        <v>32</v>
      </c>
    </row>
    <row r="16" spans="1:15" x14ac:dyDescent="0.25">
      <c r="A16" t="s">
        <v>218</v>
      </c>
      <c r="B16" t="s">
        <v>225</v>
      </c>
      <c r="C16" t="s">
        <v>206</v>
      </c>
      <c r="D16" t="s">
        <v>73</v>
      </c>
      <c r="E16" s="1" t="s">
        <v>79</v>
      </c>
      <c r="F16" s="1">
        <v>827440.94</v>
      </c>
      <c r="G16" s="1">
        <v>644031.92000000004</v>
      </c>
      <c r="H16" s="1">
        <v>698842.19</v>
      </c>
      <c r="I16" s="1">
        <f>Table4[[#This Row],[Budget]]-Table4[[#This Row],[Actualised]]-Table4[[#This Row],[Committed]]</f>
        <v>-515433.17000000004</v>
      </c>
      <c r="J16" s="13">
        <f>Table4[[#This Row],[Actualised]]/Table4[[#This Row],[Budget]]</f>
        <v>0.77834185966191149</v>
      </c>
      <c r="K16" s="13">
        <f>Table4[[#This Row],[Committed]]/Table4[[#This Row],[Budget]]</f>
        <v>0.84458256319780356</v>
      </c>
      <c r="L16" s="13">
        <f>Table4[[#This Row],[Available]]/Table4[[#This Row],[Committed]]</f>
        <v>-0.73755302323690575</v>
      </c>
      <c r="M16" s="12">
        <v>45309</v>
      </c>
      <c r="N16" t="s">
        <v>5</v>
      </c>
      <c r="O16" t="s">
        <v>31</v>
      </c>
    </row>
    <row r="17" spans="1:15" x14ac:dyDescent="0.25">
      <c r="A17" t="s">
        <v>219</v>
      </c>
      <c r="B17" t="s">
        <v>226</v>
      </c>
      <c r="C17" t="s">
        <v>210</v>
      </c>
      <c r="D17" t="s">
        <v>105</v>
      </c>
      <c r="E17" s="1" t="s">
        <v>83</v>
      </c>
      <c r="F17" s="1">
        <v>781697.8</v>
      </c>
      <c r="G17" s="1">
        <v>824278.92</v>
      </c>
      <c r="H17" s="1">
        <v>973595</v>
      </c>
      <c r="I17" s="1">
        <f>Table4[[#This Row],[Budget]]-Table4[[#This Row],[Actualised]]-Table4[[#This Row],[Committed]]</f>
        <v>-1016176.12</v>
      </c>
      <c r="J17" s="13">
        <f>Table4[[#This Row],[Actualised]]/Table4[[#This Row],[Budget]]</f>
        <v>1.0544726107710678</v>
      </c>
      <c r="K17" s="13">
        <f>Table4[[#This Row],[Committed]]/Table4[[#This Row],[Budget]]</f>
        <v>1.2454877063745093</v>
      </c>
      <c r="L17" s="13">
        <f>Table4[[#This Row],[Available]]/Table4[[#This Row],[Committed]]</f>
        <v>-1.0437359682414145</v>
      </c>
      <c r="M17" s="12">
        <v>45314</v>
      </c>
      <c r="N17" t="s">
        <v>3</v>
      </c>
      <c r="O17" t="s">
        <v>32</v>
      </c>
    </row>
    <row r="18" spans="1:15" x14ac:dyDescent="0.25">
      <c r="A18" t="s">
        <v>219</v>
      </c>
      <c r="B18" t="s">
        <v>226</v>
      </c>
      <c r="C18" t="s">
        <v>206</v>
      </c>
      <c r="D18" t="s">
        <v>108</v>
      </c>
      <c r="E18" s="1" t="s">
        <v>86</v>
      </c>
      <c r="F18" s="1">
        <v>611674.66</v>
      </c>
      <c r="G18" s="1">
        <v>578536.07999999996</v>
      </c>
      <c r="H18" s="1">
        <v>148112.60999999999</v>
      </c>
      <c r="I18" s="1">
        <f>Table4[[#This Row],[Budget]]-Table4[[#This Row],[Actualised]]-Table4[[#This Row],[Committed]]</f>
        <v>-114974.02999999991</v>
      </c>
      <c r="J18" s="13">
        <f>Table4[[#This Row],[Actualised]]/Table4[[#This Row],[Budget]]</f>
        <v>0.94582319300263307</v>
      </c>
      <c r="K18" s="13">
        <f>Table4[[#This Row],[Committed]]/Table4[[#This Row],[Budget]]</f>
        <v>0.24214279205223244</v>
      </c>
      <c r="L18" s="13">
        <f>Table4[[#This Row],[Available]]/Table4[[#This Row],[Committed]]</f>
        <v>-0.77626091390868013</v>
      </c>
      <c r="M18" s="12">
        <v>45317</v>
      </c>
      <c r="N18" t="s">
        <v>130</v>
      </c>
      <c r="O18" t="s">
        <v>31</v>
      </c>
    </row>
    <row r="19" spans="1:15" x14ac:dyDescent="0.25">
      <c r="A19" t="s">
        <v>219</v>
      </c>
      <c r="B19" t="s">
        <v>226</v>
      </c>
      <c r="C19" t="s">
        <v>207</v>
      </c>
      <c r="D19" t="s">
        <v>109</v>
      </c>
      <c r="E19" s="1" t="s">
        <v>82</v>
      </c>
      <c r="F19" s="1">
        <v>701477.69</v>
      </c>
      <c r="G19" s="1">
        <v>725833.55</v>
      </c>
      <c r="H19" s="1">
        <v>306117.7</v>
      </c>
      <c r="I19" s="1">
        <f>Table4[[#This Row],[Budget]]-Table4[[#This Row],[Actualised]]-Table4[[#This Row],[Committed]]</f>
        <v>-330473.56000000011</v>
      </c>
      <c r="J19" s="13">
        <f>Table4[[#This Row],[Actualised]]/Table4[[#This Row],[Budget]]</f>
        <v>1.0347207906212956</v>
      </c>
      <c r="K19" s="13">
        <f>Table4[[#This Row],[Committed]]/Table4[[#This Row],[Budget]]</f>
        <v>0.43638978739295337</v>
      </c>
      <c r="L19" s="13">
        <f>Table4[[#This Row],[Available]]/Table4[[#This Row],[Committed]]</f>
        <v>-1.0795637102983595</v>
      </c>
      <c r="M19" s="12">
        <v>45319</v>
      </c>
      <c r="N19" t="s">
        <v>131</v>
      </c>
      <c r="O19" t="s">
        <v>53</v>
      </c>
    </row>
    <row r="20" spans="1:15" x14ac:dyDescent="0.25">
      <c r="A20" t="s">
        <v>219</v>
      </c>
      <c r="B20" t="s">
        <v>226</v>
      </c>
      <c r="C20" t="s">
        <v>208</v>
      </c>
      <c r="D20" t="s">
        <v>110</v>
      </c>
      <c r="E20" s="1" t="s">
        <v>82</v>
      </c>
      <c r="F20" s="1">
        <v>375859.77</v>
      </c>
      <c r="G20" s="1">
        <v>767839.37</v>
      </c>
      <c r="H20" s="1">
        <v>772331.2</v>
      </c>
      <c r="I20" s="1">
        <f>Table4[[#This Row],[Budget]]-Table4[[#This Row],[Actualised]]-Table4[[#This Row],[Committed]]</f>
        <v>-1164310.7999999998</v>
      </c>
      <c r="J20" s="13">
        <f>Table4[[#This Row],[Actualised]]/Table4[[#This Row],[Budget]]</f>
        <v>2.0428878834252466</v>
      </c>
      <c r="K20" s="13">
        <f>Table4[[#This Row],[Committed]]/Table4[[#This Row],[Budget]]</f>
        <v>2.0548386968895338</v>
      </c>
      <c r="L20" s="13">
        <f>Table4[[#This Row],[Available]]/Table4[[#This Row],[Committed]]</f>
        <v>-1.5075278585145853</v>
      </c>
      <c r="M20" s="12">
        <v>45325</v>
      </c>
      <c r="N20" t="s">
        <v>131</v>
      </c>
      <c r="O20" t="s">
        <v>31</v>
      </c>
    </row>
    <row r="21" spans="1:15" x14ac:dyDescent="0.25">
      <c r="A21" t="s">
        <v>219</v>
      </c>
      <c r="B21" t="s">
        <v>226</v>
      </c>
      <c r="C21" t="s">
        <v>208</v>
      </c>
      <c r="D21" t="s">
        <v>116</v>
      </c>
      <c r="E21" s="1" t="s">
        <v>84</v>
      </c>
      <c r="F21" s="1">
        <v>451143.22</v>
      </c>
      <c r="G21" s="1">
        <v>445074.48</v>
      </c>
      <c r="H21" s="1">
        <v>282190.15999999997</v>
      </c>
      <c r="I21" s="1">
        <f>Table4[[#This Row],[Budget]]-Table4[[#This Row],[Actualised]]-Table4[[#This Row],[Committed]]</f>
        <v>-276121.42</v>
      </c>
      <c r="J21" s="13">
        <f>Table4[[#This Row],[Actualised]]/Table4[[#This Row],[Budget]]</f>
        <v>0.98654808555030482</v>
      </c>
      <c r="K21" s="13">
        <f>Table4[[#This Row],[Committed]]/Table4[[#This Row],[Budget]]</f>
        <v>0.62550016821709076</v>
      </c>
      <c r="L21" s="13">
        <f>Table4[[#This Row],[Available]]/Table4[[#This Row],[Committed]]</f>
        <v>-0.97849414735085027</v>
      </c>
      <c r="M21" s="12">
        <v>45327</v>
      </c>
      <c r="N21" t="s">
        <v>5</v>
      </c>
      <c r="O21" t="s">
        <v>32</v>
      </c>
    </row>
    <row r="22" spans="1:15" x14ac:dyDescent="0.25">
      <c r="A22" t="s">
        <v>220</v>
      </c>
      <c r="B22" t="s">
        <v>227</v>
      </c>
      <c r="C22" t="s">
        <v>206</v>
      </c>
      <c r="D22" t="s">
        <v>99</v>
      </c>
      <c r="E22" s="1" t="s">
        <v>93</v>
      </c>
      <c r="F22" s="1">
        <v>733848.95</v>
      </c>
      <c r="G22" s="1">
        <v>239053.69</v>
      </c>
      <c r="H22" s="1">
        <v>897328.57</v>
      </c>
      <c r="I22" s="1">
        <f>Table4[[#This Row],[Budget]]-Table4[[#This Row],[Actualised]]-Table4[[#This Row],[Committed]]</f>
        <v>-402533.31</v>
      </c>
      <c r="J22" s="13">
        <f>Table4[[#This Row],[Actualised]]/Table4[[#This Row],[Budget]]</f>
        <v>0.32575326298416046</v>
      </c>
      <c r="K22" s="13">
        <f>Table4[[#This Row],[Committed]]/Table4[[#This Row],[Budget]]</f>
        <v>1.222770121835018</v>
      </c>
      <c r="L22" s="13">
        <f>Table4[[#This Row],[Available]]/Table4[[#This Row],[Committed]]</f>
        <v>-0.44859076536479836</v>
      </c>
      <c r="M22" s="12">
        <v>45333</v>
      </c>
      <c r="N22" t="s">
        <v>132</v>
      </c>
      <c r="O22" t="s">
        <v>31</v>
      </c>
    </row>
    <row r="23" spans="1:15" x14ac:dyDescent="0.25">
      <c r="A23" t="s">
        <v>220</v>
      </c>
      <c r="B23" t="s">
        <v>227</v>
      </c>
      <c r="C23" t="s">
        <v>206</v>
      </c>
      <c r="D23" t="s">
        <v>100</v>
      </c>
      <c r="E23" s="1" t="s">
        <v>94</v>
      </c>
      <c r="F23" s="1">
        <v>598547.18999999994</v>
      </c>
      <c r="G23" s="1">
        <v>301524.87</v>
      </c>
      <c r="H23" s="1">
        <v>255282.52</v>
      </c>
      <c r="I23" s="1">
        <f>Table4[[#This Row],[Budget]]-Table4[[#This Row],[Actualised]]-Table4[[#This Row],[Committed]]</f>
        <v>41739.799999999959</v>
      </c>
      <c r="J23" s="13">
        <f>Table4[[#This Row],[Actualised]]/Table4[[#This Row],[Budget]]</f>
        <v>0.50376123225973213</v>
      </c>
      <c r="K23" s="13">
        <f>Table4[[#This Row],[Committed]]/Table4[[#This Row],[Budget]]</f>
        <v>0.42650358111279413</v>
      </c>
      <c r="L23" s="13">
        <f>Table4[[#This Row],[Available]]/Table4[[#This Row],[Committed]]</f>
        <v>0.1635043402109943</v>
      </c>
      <c r="M23" s="12">
        <v>45334</v>
      </c>
      <c r="N23" t="s">
        <v>127</v>
      </c>
      <c r="O23" t="s">
        <v>32</v>
      </c>
    </row>
    <row r="24" spans="1:15" x14ac:dyDescent="0.25">
      <c r="A24" t="s">
        <v>220</v>
      </c>
      <c r="B24" t="s">
        <v>227</v>
      </c>
      <c r="C24" t="s">
        <v>206</v>
      </c>
      <c r="D24" t="s">
        <v>101</v>
      </c>
      <c r="E24" s="1" t="s">
        <v>95</v>
      </c>
      <c r="F24" s="1">
        <v>978511.93</v>
      </c>
      <c r="G24" s="1">
        <v>141057.56</v>
      </c>
      <c r="H24" s="1">
        <v>933907.8</v>
      </c>
      <c r="I24" s="1">
        <f>Table4[[#This Row],[Budget]]-Table4[[#This Row],[Actualised]]-Table4[[#This Row],[Committed]]</f>
        <v>-96453.429999999935</v>
      </c>
      <c r="J24" s="13">
        <f>Table4[[#This Row],[Actualised]]/Table4[[#This Row],[Budget]]</f>
        <v>0.14415517652401028</v>
      </c>
      <c r="K24" s="13">
        <f>Table4[[#This Row],[Committed]]/Table4[[#This Row],[Budget]]</f>
        <v>0.95441636567476495</v>
      </c>
      <c r="L24" s="13">
        <f>Table4[[#This Row],[Available]]/Table4[[#This Row],[Committed]]</f>
        <v>-0.10327939224835678</v>
      </c>
      <c r="M24" s="12">
        <v>45335</v>
      </c>
      <c r="N24" t="s">
        <v>131</v>
      </c>
      <c r="O24" t="s">
        <v>31</v>
      </c>
    </row>
    <row r="25" spans="1:15" x14ac:dyDescent="0.25">
      <c r="A25" t="s">
        <v>220</v>
      </c>
      <c r="B25" t="s">
        <v>227</v>
      </c>
      <c r="C25" t="s">
        <v>210</v>
      </c>
      <c r="D25" t="s">
        <v>102</v>
      </c>
      <c r="E25" s="1" t="s">
        <v>96</v>
      </c>
      <c r="F25" s="1">
        <v>959017.05</v>
      </c>
      <c r="G25" s="1">
        <v>214990.74</v>
      </c>
      <c r="H25" s="1">
        <v>521894.55</v>
      </c>
      <c r="I25" s="1">
        <f>Table4[[#This Row],[Budget]]-Table4[[#This Row],[Actualised]]-Table4[[#This Row],[Committed]]</f>
        <v>222131.76000000007</v>
      </c>
      <c r="J25" s="13">
        <f>Table4[[#This Row],[Actualised]]/Table4[[#This Row],[Budget]]</f>
        <v>0.22417822498567672</v>
      </c>
      <c r="K25" s="13">
        <f>Table4[[#This Row],[Committed]]/Table4[[#This Row],[Budget]]</f>
        <v>0.54419736333154867</v>
      </c>
      <c r="L25" s="13">
        <f>Table4[[#This Row],[Available]]/Table4[[#This Row],[Committed]]</f>
        <v>0.42562575140897729</v>
      </c>
      <c r="M25" s="12">
        <v>45336</v>
      </c>
      <c r="N25" t="s">
        <v>3</v>
      </c>
      <c r="O25" t="s">
        <v>31</v>
      </c>
    </row>
    <row r="26" spans="1:15" x14ac:dyDescent="0.25">
      <c r="A26" t="s">
        <v>220</v>
      </c>
      <c r="B26" t="s">
        <v>227</v>
      </c>
      <c r="C26" t="s">
        <v>206</v>
      </c>
      <c r="D26" t="s">
        <v>103</v>
      </c>
      <c r="E26" s="1" t="s">
        <v>97</v>
      </c>
      <c r="F26" s="1">
        <v>279269.53999999998</v>
      </c>
      <c r="G26" s="1">
        <v>802461.51</v>
      </c>
      <c r="H26" s="1">
        <v>282086.51</v>
      </c>
      <c r="I26" s="1">
        <f>Table4[[#This Row],[Budget]]-Table4[[#This Row],[Actualised]]-Table4[[#This Row],[Committed]]</f>
        <v>-805278.48</v>
      </c>
      <c r="J26" s="13">
        <f>Table4[[#This Row],[Actualised]]/Table4[[#This Row],[Budget]]</f>
        <v>2.8734301277539975</v>
      </c>
      <c r="K26" s="13">
        <f>Table4[[#This Row],[Committed]]/Table4[[#This Row],[Budget]]</f>
        <v>1.0100869217602464</v>
      </c>
      <c r="L26" s="13">
        <f>Table4[[#This Row],[Available]]/Table4[[#This Row],[Committed]]</f>
        <v>-2.8547216951282071</v>
      </c>
      <c r="M26" s="12">
        <v>45337</v>
      </c>
      <c r="N26" t="s">
        <v>128</v>
      </c>
      <c r="O26" t="s">
        <v>53</v>
      </c>
    </row>
    <row r="27" spans="1:15" x14ac:dyDescent="0.25">
      <c r="D27" s="20">
        <f>SUBTOTAL(103,Table4[Project Number])</f>
        <v>22</v>
      </c>
      <c r="E27" s="4"/>
      <c r="F27" s="24">
        <f>SUBTOTAL(109,F5:F26)</f>
        <v>15256562.069999998</v>
      </c>
      <c r="G27" s="24">
        <f>SUBTOTAL(109,G5:G26)</f>
        <v>10248841.239999998</v>
      </c>
      <c r="H27" s="24">
        <f>SUBTOTAL(109,H5:H26)</f>
        <v>10993217.730000002</v>
      </c>
      <c r="I27" s="24">
        <f>SUBTOTAL(109,I5:I26)</f>
        <v>-5985496.8999999985</v>
      </c>
      <c r="M27"/>
    </row>
  </sheetData>
  <phoneticPr fontId="6" type="noConversion"/>
  <conditionalFormatting sqref="J5:J2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{CC4688B0-FD08-4973-A1A8-6A25C5E443F0}</x14:id>
        </ext>
      </extLst>
    </cfRule>
  </conditionalFormatting>
  <conditionalFormatting sqref="K5:K26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{935B93CA-28A3-4C70-9CF0-B5823B3F7C45}</x14:id>
        </ext>
      </extLst>
    </cfRule>
  </conditionalFormatting>
  <conditionalFormatting sqref="L5:L26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{69BBD6B6-8C6F-416D-94AC-F88039E35353}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4688B0-FD08-4973-A1A8-6A25C5E443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J5:J26</xm:sqref>
        </x14:conditionalFormatting>
        <x14:conditionalFormatting xmlns:xm="http://schemas.microsoft.com/office/excel/2006/main">
          <x14:cfRule type="dataBar" id="{935B93CA-28A3-4C70-9CF0-B5823B3F7C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K5:K26</xm:sqref>
        </x14:conditionalFormatting>
        <x14:conditionalFormatting xmlns:xm="http://schemas.microsoft.com/office/excel/2006/main">
          <x14:cfRule type="dataBar" id="{69BBD6B6-8C6F-416D-94AC-F88039E353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L5:L26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8A34F-8FF3-4C62-8EE6-B2A4525627CE}">
  <sheetPr codeName="Sheet3"/>
  <dimension ref="A1:A55"/>
  <sheetViews>
    <sheetView tabSelected="1" workbookViewId="0"/>
  </sheetViews>
  <sheetFormatPr defaultRowHeight="15" x14ac:dyDescent="0.25"/>
  <cols>
    <col min="1" max="1" width="80.85546875" bestFit="1" customWidth="1"/>
  </cols>
  <sheetData>
    <row r="1" spans="1:1" ht="15.75" x14ac:dyDescent="0.25">
      <c r="A1" s="14" t="s">
        <v>18</v>
      </c>
    </row>
    <row r="2" spans="1:1" ht="15.75" x14ac:dyDescent="0.25">
      <c r="A2" s="14" t="s">
        <v>8</v>
      </c>
    </row>
    <row r="3" spans="1:1" ht="15.75" x14ac:dyDescent="0.25">
      <c r="A3" s="14" t="s">
        <v>12</v>
      </c>
    </row>
    <row r="4" spans="1:1" ht="15.75" x14ac:dyDescent="0.25">
      <c r="A4" s="14" t="s">
        <v>179</v>
      </c>
    </row>
    <row r="5" spans="1:1" ht="15.75" x14ac:dyDescent="0.25">
      <c r="A5" s="14" t="s">
        <v>180</v>
      </c>
    </row>
    <row r="6" spans="1:1" ht="15.75" x14ac:dyDescent="0.25">
      <c r="A6" s="14" t="s">
        <v>7</v>
      </c>
    </row>
    <row r="7" spans="1:1" ht="15.75" x14ac:dyDescent="0.25">
      <c r="A7" s="14" t="s">
        <v>181</v>
      </c>
    </row>
    <row r="8" spans="1:1" ht="15.75" x14ac:dyDescent="0.25">
      <c r="A8" s="14" t="s">
        <v>182</v>
      </c>
    </row>
    <row r="9" spans="1:1" ht="15.75" x14ac:dyDescent="0.25">
      <c r="A9" s="14" t="s">
        <v>183</v>
      </c>
    </row>
    <row r="10" spans="1:1" ht="15.75" x14ac:dyDescent="0.25">
      <c r="A10" s="14" t="s">
        <v>184</v>
      </c>
    </row>
    <row r="11" spans="1:1" ht="15.75" x14ac:dyDescent="0.25">
      <c r="A11" s="14" t="s">
        <v>185</v>
      </c>
    </row>
    <row r="12" spans="1:1" ht="15.75" x14ac:dyDescent="0.25">
      <c r="A12" s="14" t="s">
        <v>186</v>
      </c>
    </row>
    <row r="13" spans="1:1" ht="15.75" x14ac:dyDescent="0.25">
      <c r="A13" s="14" t="s">
        <v>9</v>
      </c>
    </row>
    <row r="14" spans="1:1" ht="15.75" x14ac:dyDescent="0.25">
      <c r="A14" s="14" t="s">
        <v>187</v>
      </c>
    </row>
    <row r="15" spans="1:1" ht="15.75" x14ac:dyDescent="0.25">
      <c r="A15" s="14" t="s">
        <v>10</v>
      </c>
    </row>
    <row r="16" spans="1:1" ht="15.75" x14ac:dyDescent="0.25">
      <c r="A16" s="14" t="s">
        <v>11</v>
      </c>
    </row>
    <row r="17" spans="1:1" ht="15.75" x14ac:dyDescent="0.25">
      <c r="A17" s="14" t="s">
        <v>188</v>
      </c>
    </row>
    <row r="18" spans="1:1" ht="15.75" x14ac:dyDescent="0.25">
      <c r="A18" s="14" t="s">
        <v>189</v>
      </c>
    </row>
    <row r="19" spans="1:1" ht="15.75" x14ac:dyDescent="0.25">
      <c r="A19" s="14" t="s">
        <v>190</v>
      </c>
    </row>
    <row r="20" spans="1:1" ht="15.75" x14ac:dyDescent="0.25">
      <c r="A20" s="14" t="s">
        <v>191</v>
      </c>
    </row>
    <row r="21" spans="1:1" ht="15.75" x14ac:dyDescent="0.25">
      <c r="A21" s="14" t="s">
        <v>192</v>
      </c>
    </row>
    <row r="22" spans="1:1" ht="15.75" x14ac:dyDescent="0.25">
      <c r="A22" s="14" t="s">
        <v>229</v>
      </c>
    </row>
    <row r="23" spans="1:1" ht="15.75" x14ac:dyDescent="0.25">
      <c r="A23" s="14" t="s">
        <v>230</v>
      </c>
    </row>
    <row r="24" spans="1:1" ht="15.75" x14ac:dyDescent="0.25">
      <c r="A24" s="14" t="s">
        <v>231</v>
      </c>
    </row>
    <row r="25" spans="1:1" ht="15.75" x14ac:dyDescent="0.25">
      <c r="A25" s="14" t="s">
        <v>232</v>
      </c>
    </row>
    <row r="26" spans="1:1" ht="15.75" x14ac:dyDescent="0.25">
      <c r="A26" s="14" t="s">
        <v>13</v>
      </c>
    </row>
    <row r="27" spans="1:1" ht="15.75" x14ac:dyDescent="0.25">
      <c r="A27" s="14" t="s">
        <v>14</v>
      </c>
    </row>
    <row r="28" spans="1:1" ht="15.75" x14ac:dyDescent="0.25">
      <c r="A28" s="14" t="s">
        <v>193</v>
      </c>
    </row>
    <row r="29" spans="1:1" ht="15.75" x14ac:dyDescent="0.25">
      <c r="A29" s="14" t="s">
        <v>195</v>
      </c>
    </row>
    <row r="30" spans="1:1" ht="15.75" x14ac:dyDescent="0.25">
      <c r="A30" s="14" t="s">
        <v>196</v>
      </c>
    </row>
    <row r="31" spans="1:1" ht="15.75" x14ac:dyDescent="0.25">
      <c r="A31" s="14" t="s">
        <v>197</v>
      </c>
    </row>
    <row r="32" spans="1:1" ht="15.75" x14ac:dyDescent="0.25">
      <c r="A32" s="14" t="s">
        <v>194</v>
      </c>
    </row>
    <row r="33" spans="1:1" ht="15.75" x14ac:dyDescent="0.25">
      <c r="A33" s="14" t="s">
        <v>198</v>
      </c>
    </row>
    <row r="34" spans="1:1" ht="15.75" x14ac:dyDescent="0.25">
      <c r="A34" s="14" t="s">
        <v>215</v>
      </c>
    </row>
    <row r="35" spans="1:1" ht="15.75" x14ac:dyDescent="0.25">
      <c r="A35" s="14" t="s">
        <v>216</v>
      </c>
    </row>
    <row r="36" spans="1:1" ht="15.75" x14ac:dyDescent="0.25">
      <c r="A36" s="14" t="s">
        <v>217</v>
      </c>
    </row>
    <row r="37" spans="1:1" ht="15.75" x14ac:dyDescent="0.25">
      <c r="A37" s="14" t="s">
        <v>221</v>
      </c>
    </row>
    <row r="38" spans="1:1" ht="15.75" x14ac:dyDescent="0.25">
      <c r="A38" s="14" t="s">
        <v>222</v>
      </c>
    </row>
    <row r="39" spans="1:1" ht="15.75" x14ac:dyDescent="0.25">
      <c r="A39" s="14" t="s">
        <v>223</v>
      </c>
    </row>
    <row r="40" spans="1:1" ht="15.75" x14ac:dyDescent="0.25">
      <c r="A40" s="14" t="s">
        <v>224</v>
      </c>
    </row>
    <row r="41" spans="1:1" ht="15.75" x14ac:dyDescent="0.25">
      <c r="A41" s="14" t="s">
        <v>199</v>
      </c>
    </row>
    <row r="42" spans="1:1" ht="15.75" x14ac:dyDescent="0.25">
      <c r="A42" s="14" t="s">
        <v>200</v>
      </c>
    </row>
    <row r="43" spans="1:1" ht="15.75" x14ac:dyDescent="0.25">
      <c r="A43" s="14" t="s">
        <v>19</v>
      </c>
    </row>
    <row r="44" spans="1:1" ht="15.75" x14ac:dyDescent="0.25">
      <c r="A44" s="14" t="s">
        <v>233</v>
      </c>
    </row>
    <row r="45" spans="1:1" ht="15.75" x14ac:dyDescent="0.25">
      <c r="A45" s="14" t="s">
        <v>234</v>
      </c>
    </row>
    <row r="46" spans="1:1" ht="15.75" x14ac:dyDescent="0.25">
      <c r="A46" s="14" t="s">
        <v>235</v>
      </c>
    </row>
    <row r="47" spans="1:1" ht="15.75" x14ac:dyDescent="0.25">
      <c r="A47" s="14" t="s">
        <v>201</v>
      </c>
    </row>
    <row r="48" spans="1:1" ht="15.75" x14ac:dyDescent="0.25">
      <c r="A48" s="14" t="s">
        <v>15</v>
      </c>
    </row>
    <row r="49" spans="1:1" ht="15.75" x14ac:dyDescent="0.25">
      <c r="A49" s="14" t="s">
        <v>7</v>
      </c>
    </row>
    <row r="50" spans="1:1" ht="15.75" x14ac:dyDescent="0.25">
      <c r="A50" s="14" t="s">
        <v>202</v>
      </c>
    </row>
    <row r="51" spans="1:1" ht="15.75" x14ac:dyDescent="0.25">
      <c r="A51" s="14" t="s">
        <v>203</v>
      </c>
    </row>
    <row r="52" spans="1:1" ht="15.75" x14ac:dyDescent="0.25">
      <c r="A52" s="14" t="s">
        <v>228</v>
      </c>
    </row>
    <row r="53" spans="1:1" ht="15.75" x14ac:dyDescent="0.25">
      <c r="A53" s="2"/>
    </row>
    <row r="54" spans="1:1" ht="15.75" x14ac:dyDescent="0.25">
      <c r="A54" s="2"/>
    </row>
    <row r="55" spans="1:1" ht="15.75" x14ac:dyDescent="0.25">
      <c r="A55" s="2"/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2024-04-04T15:05:29Z</dcterms:created>
  <dcterms:modified xsi:type="dcterms:W3CDTF">2024-04-06T19:08:54Z</dcterms:modified>
</cp:coreProperties>
</file>